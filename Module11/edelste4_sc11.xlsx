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vanedelstein/Desktop/JHU/Spring2026/AI/Module11/"/>
    </mc:Choice>
  </mc:AlternateContent>
  <xr:revisionPtr revIDLastSave="0" documentId="13_ncr:1_{B400F03C-E3DA-CD43-A747-FD145FF7844B}" xr6:coauthVersionLast="47" xr6:coauthVersionMax="47" xr10:uidLastSave="{00000000-0000-0000-0000-000000000000}"/>
  <bookViews>
    <workbookView xWindow="0" yWindow="500" windowWidth="28800" windowHeight="17500" tabRatio="500" activeTab="1" xr2:uid="{00000000-000D-0000-FFFF-FFFF00000000}"/>
  </bookViews>
  <sheets>
    <sheet name="sc" sheetId="3" r:id="rId1"/>
    <sheet name="no_question_mark" sheetId="9" r:id="rId2"/>
    <sheet name="Fourteen" sheetId="8" r:id="rId3"/>
    <sheet name="Left" sheetId="6" r:id="rId4"/>
    <sheet name="Right" sheetId="7" r:id="rId5"/>
    <sheet name="template" sheetId="1" r:id="rId6"/>
  </sheets>
  <definedNames>
    <definedName name="discount_rate" localSheetId="2">Fourteen!$B$2</definedName>
    <definedName name="discount_rate" localSheetId="3">Left!$B$2</definedName>
    <definedName name="discount_rate" localSheetId="1">no_question_mark!$B$2</definedName>
    <definedName name="discount_rate" localSheetId="4">Right!$B$2</definedName>
    <definedName name="discount_rate" localSheetId="0">sc!$B$2</definedName>
    <definedName name="discount_rate">template!$B$2</definedName>
    <definedName name="planned" localSheetId="2">Fourteen!$B$3</definedName>
    <definedName name="planned" localSheetId="3">Left!$B$3</definedName>
    <definedName name="planned" localSheetId="1">no_question_mark!$B$3</definedName>
    <definedName name="planned" localSheetId="4">Right!$B$3</definedName>
    <definedName name="planned" localSheetId="0">sc!$B$3</definedName>
    <definedName name="planned">template!$B$3</definedName>
    <definedName name="surprise" localSheetId="2">Fourteen!$B$4</definedName>
    <definedName name="surprise" localSheetId="3">Left!$B$4</definedName>
    <definedName name="surprise" localSheetId="1">no_question_mark!$B$4</definedName>
    <definedName name="surprise" localSheetId="4">Right!$B$4</definedName>
    <definedName name="surprise" localSheetId="0">sc!$B$4</definedName>
    <definedName name="surprise">template!$B$4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H16" i="9" l="1"/>
  <c r="T16" i="9"/>
  <c r="R16" i="9"/>
  <c r="L16" i="9"/>
  <c r="AH15" i="9"/>
  <c r="T15" i="9"/>
  <c r="R15" i="9"/>
  <c r="L15" i="9"/>
  <c r="AH14" i="9"/>
  <c r="R14" i="9" s="1"/>
  <c r="T14" i="9"/>
  <c r="L14" i="9"/>
  <c r="AH13" i="9"/>
  <c r="T13" i="9"/>
  <c r="R13" i="9"/>
  <c r="L13" i="9"/>
  <c r="AH12" i="9"/>
  <c r="T12" i="9"/>
  <c r="R12" i="9"/>
  <c r="L12" i="9"/>
  <c r="AH11" i="9"/>
  <c r="T11" i="9"/>
  <c r="R11" i="9"/>
  <c r="L11" i="9"/>
  <c r="AH10" i="9"/>
  <c r="T10" i="9"/>
  <c r="R10" i="9"/>
  <c r="L10" i="9"/>
  <c r="AH9" i="9"/>
  <c r="T9" i="9"/>
  <c r="R9" i="9"/>
  <c r="L9" i="9"/>
  <c r="AH8" i="9"/>
  <c r="T8" i="9"/>
  <c r="R8" i="9"/>
  <c r="L8" i="9"/>
  <c r="AH7" i="9"/>
  <c r="T7" i="9"/>
  <c r="R7" i="9"/>
  <c r="L7" i="9"/>
  <c r="B4" i="9"/>
  <c r="BO16" i="8"/>
  <c r="BO15" i="8"/>
  <c r="BO14" i="8"/>
  <c r="BO13" i="8"/>
  <c r="BO12" i="8"/>
  <c r="BO11" i="8"/>
  <c r="BO10" i="8"/>
  <c r="BO9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D7" i="8"/>
  <c r="BE7" i="8"/>
  <c r="BF7" i="8"/>
  <c r="BG7" i="8"/>
  <c r="BH7" i="8"/>
  <c r="BI7" i="8"/>
  <c r="BJ7" i="8"/>
  <c r="BK7" i="8"/>
  <c r="BL7" i="8"/>
  <c r="BM7" i="8"/>
  <c r="BN7" i="8"/>
  <c r="AZ16" i="8"/>
  <c r="AM16" i="8"/>
  <c r="AZ15" i="8"/>
  <c r="AM15" i="8"/>
  <c r="AZ14" i="8"/>
  <c r="AM14" i="8"/>
  <c r="AZ13" i="8"/>
  <c r="AM13" i="8"/>
  <c r="AZ12" i="8"/>
  <c r="AM12" i="8"/>
  <c r="AZ11" i="8"/>
  <c r="AM11" i="8"/>
  <c r="AZ10" i="8"/>
  <c r="AM10" i="8"/>
  <c r="AZ9" i="8"/>
  <c r="AM9" i="8"/>
  <c r="AZ8" i="8"/>
  <c r="AM8" i="8"/>
  <c r="AO7" i="8"/>
  <c r="AP7" i="8"/>
  <c r="AQ7" i="8"/>
  <c r="AR7" i="8"/>
  <c r="AS7" i="8"/>
  <c r="AT7" i="8"/>
  <c r="AU7" i="8"/>
  <c r="AV7" i="8"/>
  <c r="AW7" i="8"/>
  <c r="AX7" i="8"/>
  <c r="AY7" i="8"/>
  <c r="Y7" i="8"/>
  <c r="Z7" i="8"/>
  <c r="AA7" i="8"/>
  <c r="AR8" i="8" s="1"/>
  <c r="AB7" i="8"/>
  <c r="AS8" i="8" s="1"/>
  <c r="AC7" i="8"/>
  <c r="AT8" i="8" s="1"/>
  <c r="AD7" i="8"/>
  <c r="AU8" i="8" s="1"/>
  <c r="AE8" i="8" s="1"/>
  <c r="AE7" i="8"/>
  <c r="AV8" i="8" s="1"/>
  <c r="AF7" i="8"/>
  <c r="AW8" i="8" s="1"/>
  <c r="AG7" i="8"/>
  <c r="AX8" i="8" s="1"/>
  <c r="AH7" i="8"/>
  <c r="AY8" i="8" s="1"/>
  <c r="AI7" i="8"/>
  <c r="AJ16" i="8"/>
  <c r="AJ15" i="8"/>
  <c r="AJ14" i="8"/>
  <c r="AJ13" i="8"/>
  <c r="AJ12" i="8"/>
  <c r="AJ11" i="8"/>
  <c r="AJ10" i="8"/>
  <c r="AJ9" i="8"/>
  <c r="AJ8" i="8"/>
  <c r="AJ7" i="8"/>
  <c r="BO7" i="8"/>
  <c r="AZ7" i="8"/>
  <c r="W16" i="8"/>
  <c r="W15" i="8"/>
  <c r="W14" i="8"/>
  <c r="W13" i="8"/>
  <c r="W12" i="8"/>
  <c r="W11" i="8"/>
  <c r="W10" i="8"/>
  <c r="W9" i="8"/>
  <c r="W8" i="8"/>
  <c r="AM7" i="8"/>
  <c r="W7" i="8"/>
  <c r="B4" i="8"/>
  <c r="AB8" i="7"/>
  <c r="AB9" i="7"/>
  <c r="AB10" i="7"/>
  <c r="AB11" i="7"/>
  <c r="AB12" i="7"/>
  <c r="AB13" i="7"/>
  <c r="AB14" i="7"/>
  <c r="AB15" i="7"/>
  <c r="AB16" i="7"/>
  <c r="AB7" i="7"/>
  <c r="T7" i="7"/>
  <c r="AH16" i="7"/>
  <c r="T16" i="7"/>
  <c r="R16" i="7"/>
  <c r="L16" i="7"/>
  <c r="AH15" i="7"/>
  <c r="R15" i="7" s="1"/>
  <c r="T15" i="7"/>
  <c r="L15" i="7" s="1"/>
  <c r="AH14" i="7"/>
  <c r="R14" i="7" s="1"/>
  <c r="T14" i="7"/>
  <c r="L14" i="7"/>
  <c r="AH13" i="7"/>
  <c r="R13" i="7" s="1"/>
  <c r="T13" i="7"/>
  <c r="L13" i="7" s="1"/>
  <c r="AH12" i="7"/>
  <c r="R12" i="7" s="1"/>
  <c r="T12" i="7"/>
  <c r="L12" i="7"/>
  <c r="AH11" i="7"/>
  <c r="T11" i="7"/>
  <c r="R11" i="7"/>
  <c r="L11" i="7"/>
  <c r="AH10" i="7"/>
  <c r="T10" i="7"/>
  <c r="R10" i="7"/>
  <c r="L10" i="7"/>
  <c r="AH9" i="7"/>
  <c r="T9" i="7"/>
  <c r="R9" i="7"/>
  <c r="L9" i="7"/>
  <c r="AH8" i="7"/>
  <c r="T8" i="7"/>
  <c r="R8" i="7"/>
  <c r="L8" i="7"/>
  <c r="AH7" i="7"/>
  <c r="R7" i="7" s="1"/>
  <c r="L7" i="7"/>
  <c r="B4" i="7"/>
  <c r="AH16" i="6"/>
  <c r="T16" i="6"/>
  <c r="R16" i="6"/>
  <c r="L16" i="6"/>
  <c r="AH15" i="6"/>
  <c r="T15" i="6"/>
  <c r="L15" i="6" s="1"/>
  <c r="R15" i="6"/>
  <c r="AH14" i="6"/>
  <c r="T14" i="6"/>
  <c r="R14" i="6"/>
  <c r="L14" i="6"/>
  <c r="AH13" i="6"/>
  <c r="R13" i="6" s="1"/>
  <c r="T13" i="6"/>
  <c r="L13" i="6"/>
  <c r="AH12" i="6"/>
  <c r="T12" i="6"/>
  <c r="R12" i="6"/>
  <c r="L12" i="6"/>
  <c r="AH11" i="6"/>
  <c r="T11" i="6"/>
  <c r="R11" i="6"/>
  <c r="L11" i="6"/>
  <c r="AH10" i="6"/>
  <c r="T10" i="6"/>
  <c r="R10" i="6"/>
  <c r="L10" i="6"/>
  <c r="AH9" i="6"/>
  <c r="T9" i="6"/>
  <c r="R9" i="6"/>
  <c r="L9" i="6"/>
  <c r="AH8" i="6"/>
  <c r="T8" i="6"/>
  <c r="R8" i="6"/>
  <c r="L8" i="6"/>
  <c r="AH7" i="6"/>
  <c r="T7" i="6"/>
  <c r="R7" i="6"/>
  <c r="L7" i="6"/>
  <c r="B4" i="6"/>
  <c r="T16" i="3"/>
  <c r="T15" i="3"/>
  <c r="T14" i="3"/>
  <c r="T13" i="3"/>
  <c r="T12" i="3"/>
  <c r="T11" i="3"/>
  <c r="T10" i="3"/>
  <c r="T9" i="3"/>
  <c r="Y8" i="3"/>
  <c r="X8" i="3"/>
  <c r="W8" i="3"/>
  <c r="V8" i="3"/>
  <c r="U8" i="3"/>
  <c r="T8" i="3"/>
  <c r="V7" i="3"/>
  <c r="W7" i="3"/>
  <c r="X7" i="3"/>
  <c r="Y7" i="3"/>
  <c r="U7" i="3"/>
  <c r="AH16" i="3"/>
  <c r="R16" i="3" s="1"/>
  <c r="AH15" i="3"/>
  <c r="R15" i="3" s="1"/>
  <c r="AH14" i="3"/>
  <c r="R14" i="3" s="1"/>
  <c r="AH13" i="3"/>
  <c r="AH12" i="3"/>
  <c r="AH11" i="3"/>
  <c r="AH10" i="3"/>
  <c r="AH9" i="3"/>
  <c r="AH8" i="3"/>
  <c r="AG8" i="3"/>
  <c r="AD7" i="3"/>
  <c r="AE7" i="3"/>
  <c r="AF7" i="3"/>
  <c r="AG7" i="3"/>
  <c r="AC7" i="3"/>
  <c r="F7" i="3"/>
  <c r="L7" i="3"/>
  <c r="L8" i="3"/>
  <c r="R8" i="3"/>
  <c r="L9" i="3"/>
  <c r="R9" i="3"/>
  <c r="L10" i="3"/>
  <c r="R10" i="3"/>
  <c r="L11" i="3"/>
  <c r="R11" i="3"/>
  <c r="L12" i="3"/>
  <c r="R12" i="3"/>
  <c r="L13" i="3"/>
  <c r="R13" i="3"/>
  <c r="L14" i="3"/>
  <c r="L15" i="3"/>
  <c r="L16" i="3"/>
  <c r="N7" i="3"/>
  <c r="AC8" i="3" s="1"/>
  <c r="O7" i="3"/>
  <c r="P7" i="3"/>
  <c r="Q7" i="3"/>
  <c r="AF8" i="3" s="1"/>
  <c r="R7" i="3"/>
  <c r="T7" i="3"/>
  <c r="AH7" i="3"/>
  <c r="B4" i="3"/>
  <c r="B4" i="1"/>
  <c r="T7" i="1"/>
  <c r="AH7" i="1"/>
  <c r="AG7" i="9" l="1"/>
  <c r="V7" i="9"/>
  <c r="AC7" i="9"/>
  <c r="AF7" i="9"/>
  <c r="Y7" i="9"/>
  <c r="W7" i="9"/>
  <c r="AD7" i="9"/>
  <c r="AE7" i="9"/>
  <c r="X7" i="9"/>
  <c r="U7" i="9"/>
  <c r="AP8" i="8"/>
  <c r="AN8" i="8"/>
  <c r="AQ8" i="8"/>
  <c r="AO8" i="8"/>
  <c r="AN7" i="8"/>
  <c r="BC7" i="8"/>
  <c r="V7" i="7"/>
  <c r="AC7" i="7"/>
  <c r="AG7" i="7"/>
  <c r="U7" i="7"/>
  <c r="AF7" i="7"/>
  <c r="Y7" i="7"/>
  <c r="X7" i="7"/>
  <c r="AE7" i="7"/>
  <c r="AD7" i="7"/>
  <c r="W7" i="7"/>
  <c r="X7" i="6"/>
  <c r="AE7" i="6"/>
  <c r="Y7" i="6"/>
  <c r="V7" i="6"/>
  <c r="AG7" i="6"/>
  <c r="AD7" i="6"/>
  <c r="W7" i="6"/>
  <c r="AC7" i="6"/>
  <c r="AF7" i="6"/>
  <c r="U7" i="6"/>
  <c r="AE8" i="3"/>
  <c r="G7" i="3"/>
  <c r="H7" i="3"/>
  <c r="I7" i="3"/>
  <c r="N7" i="9" l="1"/>
  <c r="F7" i="9"/>
  <c r="Q7" i="9"/>
  <c r="I7" i="9"/>
  <c r="G7" i="9"/>
  <c r="O7" i="9"/>
  <c r="H7" i="9"/>
  <c r="P7" i="9"/>
  <c r="E7" i="9"/>
  <c r="M7" i="9"/>
  <c r="M7" i="8"/>
  <c r="O7" i="8"/>
  <c r="L7" i="8"/>
  <c r="N7" i="8"/>
  <c r="G7" i="8"/>
  <c r="P7" i="8"/>
  <c r="H7" i="8"/>
  <c r="I7" i="8"/>
  <c r="J7" i="8"/>
  <c r="K7" i="8"/>
  <c r="AF8" i="8"/>
  <c r="F7" i="8"/>
  <c r="AI8" i="8"/>
  <c r="AH8" i="8"/>
  <c r="E7" i="8"/>
  <c r="X7" i="8"/>
  <c r="F7" i="7"/>
  <c r="N7" i="7"/>
  <c r="M7" i="7"/>
  <c r="E7" i="7"/>
  <c r="I7" i="7"/>
  <c r="Q7" i="7"/>
  <c r="P7" i="7"/>
  <c r="H7" i="7"/>
  <c r="G7" i="7"/>
  <c r="O7" i="7"/>
  <c r="P7" i="6"/>
  <c r="H7" i="6"/>
  <c r="Q7" i="6"/>
  <c r="AF8" i="6" s="1"/>
  <c r="I7" i="6"/>
  <c r="N7" i="6"/>
  <c r="F7" i="6"/>
  <c r="O7" i="6"/>
  <c r="G7" i="6"/>
  <c r="M7" i="6"/>
  <c r="E7" i="6"/>
  <c r="H8" i="3"/>
  <c r="P8" i="3"/>
  <c r="Y9" i="3" s="1"/>
  <c r="E8" i="3"/>
  <c r="M8" i="3"/>
  <c r="V9" i="3" s="1"/>
  <c r="Q8" i="3"/>
  <c r="I8" i="3"/>
  <c r="G8" i="3"/>
  <c r="O8" i="3"/>
  <c r="U8" i="9" l="1"/>
  <c r="W8" i="9"/>
  <c r="AC8" i="9"/>
  <c r="X8" i="9"/>
  <c r="AD8" i="9"/>
  <c r="AG8" i="9"/>
  <c r="Y8" i="9"/>
  <c r="AE8" i="9"/>
  <c r="AJ7" i="9" a="1"/>
  <c r="AJ7" i="9" s="1"/>
  <c r="V8" i="9"/>
  <c r="AF8" i="9"/>
  <c r="AW9" i="8"/>
  <c r="AY9" i="8"/>
  <c r="BL9" i="8"/>
  <c r="BN9" i="8"/>
  <c r="O8" i="8"/>
  <c r="N8" i="8"/>
  <c r="AG8" i="8"/>
  <c r="L8" i="8"/>
  <c r="P8" i="8"/>
  <c r="M8" i="8"/>
  <c r="AD8" i="8"/>
  <c r="AB8" i="8"/>
  <c r="BF9" i="8" s="1"/>
  <c r="AA8" i="8"/>
  <c r="BE9" i="8" s="1"/>
  <c r="Y8" i="8"/>
  <c r="BC9" i="8" s="1"/>
  <c r="AC8" i="8"/>
  <c r="Z8" i="8"/>
  <c r="X8" i="8"/>
  <c r="AO9" i="8" s="1"/>
  <c r="U8" i="7"/>
  <c r="W8" i="7"/>
  <c r="AC8" i="7"/>
  <c r="AJ7" i="7" a="1"/>
  <c r="AJ7" i="7" s="1"/>
  <c r="V8" i="7"/>
  <c r="AG8" i="7"/>
  <c r="AE8" i="7"/>
  <c r="Y8" i="7"/>
  <c r="X8" i="7"/>
  <c r="AD8" i="7"/>
  <c r="AF8" i="7"/>
  <c r="AG8" i="6"/>
  <c r="Y8" i="6"/>
  <c r="AE8" i="6"/>
  <c r="U8" i="6"/>
  <c r="W8" i="6"/>
  <c r="AC8" i="6"/>
  <c r="X8" i="6"/>
  <c r="AD8" i="6"/>
  <c r="AJ7" i="6" a="1"/>
  <c r="AJ7" i="6" s="1"/>
  <c r="V8" i="6"/>
  <c r="AD9" i="3"/>
  <c r="X9" i="3"/>
  <c r="AF9" i="3"/>
  <c r="AG9" i="3"/>
  <c r="M8" i="9" l="1"/>
  <c r="E8" i="9"/>
  <c r="G8" i="9"/>
  <c r="O8" i="9"/>
  <c r="P8" i="9"/>
  <c r="H8" i="9"/>
  <c r="I8" i="9"/>
  <c r="Q8" i="9"/>
  <c r="AF9" i="9" s="1"/>
  <c r="F8" i="9"/>
  <c r="N8" i="9"/>
  <c r="AS9" i="8"/>
  <c r="BK9" i="8"/>
  <c r="BM9" i="8"/>
  <c r="AU9" i="8"/>
  <c r="BJ9" i="8"/>
  <c r="BH9" i="8"/>
  <c r="AT9" i="8"/>
  <c r="BG9" i="8"/>
  <c r="BI9" i="8"/>
  <c r="AQ9" i="8"/>
  <c r="BD9" i="8"/>
  <c r="AR9" i="8"/>
  <c r="AX9" i="8"/>
  <c r="AV9" i="8"/>
  <c r="AP9" i="8"/>
  <c r="AN9" i="8"/>
  <c r="H8" i="8"/>
  <c r="G8" i="8"/>
  <c r="K8" i="8"/>
  <c r="I8" i="8"/>
  <c r="F8" i="8"/>
  <c r="J8" i="8"/>
  <c r="E8" i="8"/>
  <c r="AH9" i="8"/>
  <c r="AF9" i="8"/>
  <c r="AI9" i="8"/>
  <c r="BM10" i="8" s="1"/>
  <c r="AG9" i="8"/>
  <c r="AE9" i="8"/>
  <c r="M8" i="7"/>
  <c r="E8" i="7"/>
  <c r="O8" i="7"/>
  <c r="G8" i="7"/>
  <c r="N8" i="7"/>
  <c r="F8" i="7"/>
  <c r="I8" i="7"/>
  <c r="Q8" i="7"/>
  <c r="AF9" i="7" s="1"/>
  <c r="P8" i="7"/>
  <c r="H8" i="7"/>
  <c r="Q8" i="6"/>
  <c r="I8" i="6"/>
  <c r="M8" i="6"/>
  <c r="E8" i="6"/>
  <c r="G8" i="6"/>
  <c r="O8" i="6"/>
  <c r="P8" i="6"/>
  <c r="H8" i="6"/>
  <c r="F8" i="6"/>
  <c r="N8" i="6"/>
  <c r="Q9" i="3"/>
  <c r="I9" i="3"/>
  <c r="N9" i="3"/>
  <c r="F9" i="3"/>
  <c r="H9" i="3"/>
  <c r="P9" i="3"/>
  <c r="Y10" i="3" s="1"/>
  <c r="AJ8" i="9" l="1" a="1"/>
  <c r="AJ8" i="9" s="1"/>
  <c r="V9" i="9"/>
  <c r="X9" i="9"/>
  <c r="AD9" i="9"/>
  <c r="AG9" i="9"/>
  <c r="AE9" i="9"/>
  <c r="Y9" i="9"/>
  <c r="U9" i="9"/>
  <c r="AC9" i="9"/>
  <c r="W9" i="9"/>
  <c r="AY10" i="8"/>
  <c r="BL10" i="8"/>
  <c r="BN10" i="8"/>
  <c r="AW10" i="8"/>
  <c r="AX10" i="8"/>
  <c r="BK10" i="8"/>
  <c r="AV10" i="8"/>
  <c r="O9" i="8"/>
  <c r="M9" i="8"/>
  <c r="AD9" i="8"/>
  <c r="P9" i="8"/>
  <c r="N9" i="8"/>
  <c r="L9" i="8"/>
  <c r="AC9" i="8"/>
  <c r="Z9" i="8"/>
  <c r="BD10" i="8" s="1"/>
  <c r="X9" i="8"/>
  <c r="AO10" i="8" s="1"/>
  <c r="AJ8" i="7" a="1"/>
  <c r="AJ8" i="7" s="1"/>
  <c r="V9" i="7"/>
  <c r="AD9" i="7"/>
  <c r="X9" i="7"/>
  <c r="U9" i="7"/>
  <c r="AC9" i="7"/>
  <c r="W9" i="7"/>
  <c r="AG9" i="7"/>
  <c r="Y9" i="7"/>
  <c r="AE9" i="7"/>
  <c r="AJ8" i="6" a="1"/>
  <c r="AJ8" i="6" s="1"/>
  <c r="V9" i="6"/>
  <c r="AD9" i="6"/>
  <c r="X9" i="6"/>
  <c r="AG9" i="6"/>
  <c r="Y9" i="6"/>
  <c r="AE9" i="6"/>
  <c r="U9" i="6"/>
  <c r="AC9" i="6"/>
  <c r="W9" i="6"/>
  <c r="AF9" i="6"/>
  <c r="AC10" i="3"/>
  <c r="W10" i="3"/>
  <c r="U10" i="3"/>
  <c r="AE10" i="3"/>
  <c r="AG10" i="3"/>
  <c r="F9" i="9" l="1"/>
  <c r="N9" i="9"/>
  <c r="H9" i="9"/>
  <c r="P9" i="9"/>
  <c r="Q9" i="9"/>
  <c r="I9" i="9"/>
  <c r="M9" i="9"/>
  <c r="E9" i="9"/>
  <c r="O9" i="9"/>
  <c r="G9" i="9"/>
  <c r="AU10" i="8"/>
  <c r="BJ10" i="8"/>
  <c r="AT10" i="8"/>
  <c r="BI10" i="8"/>
  <c r="AB9" i="8"/>
  <c r="AA9" i="8"/>
  <c r="F9" i="8"/>
  <c r="Y9" i="8"/>
  <c r="BC10" i="8" s="1"/>
  <c r="K9" i="8"/>
  <c r="J9" i="8"/>
  <c r="I9" i="8"/>
  <c r="G9" i="8"/>
  <c r="H9" i="8"/>
  <c r="E9" i="8"/>
  <c r="AF10" i="8"/>
  <c r="AH10" i="8"/>
  <c r="AI10" i="8"/>
  <c r="BM11" i="8" s="1"/>
  <c r="AG10" i="8"/>
  <c r="BK11" i="8" s="1"/>
  <c r="AE10" i="8"/>
  <c r="N9" i="7"/>
  <c r="F9" i="7"/>
  <c r="P9" i="7"/>
  <c r="H9" i="7"/>
  <c r="E9" i="7"/>
  <c r="M9" i="7"/>
  <c r="G9" i="7"/>
  <c r="O9" i="7"/>
  <c r="Q9" i="7"/>
  <c r="I9" i="7"/>
  <c r="F9" i="6"/>
  <c r="N9" i="6"/>
  <c r="P9" i="6"/>
  <c r="H9" i="6"/>
  <c r="I9" i="6"/>
  <c r="Q9" i="6"/>
  <c r="M9" i="6"/>
  <c r="E9" i="6"/>
  <c r="O9" i="6"/>
  <c r="G9" i="6"/>
  <c r="M10" i="3"/>
  <c r="V11" i="3" s="1"/>
  <c r="E10" i="3"/>
  <c r="O10" i="3"/>
  <c r="X11" i="3" s="1"/>
  <c r="G10" i="3"/>
  <c r="Q10" i="3"/>
  <c r="AF11" i="3" s="1"/>
  <c r="I10" i="3"/>
  <c r="U10" i="9" l="1"/>
  <c r="W10" i="9"/>
  <c r="AC10" i="9"/>
  <c r="AG10" i="9"/>
  <c r="Y10" i="9"/>
  <c r="AE10" i="9"/>
  <c r="AJ9" i="9" a="1"/>
  <c r="AJ9" i="9" s="1"/>
  <c r="V10" i="9"/>
  <c r="X10" i="9"/>
  <c r="AD10" i="9"/>
  <c r="AF10" i="9"/>
  <c r="BH10" i="8"/>
  <c r="BF10" i="8"/>
  <c r="AR10" i="8"/>
  <c r="BG10" i="8"/>
  <c r="BE10" i="8"/>
  <c r="AY11" i="8"/>
  <c r="BL11" i="8"/>
  <c r="BN11" i="8"/>
  <c r="AV11" i="8"/>
  <c r="AW11" i="8"/>
  <c r="AX11" i="8"/>
  <c r="AS10" i="8"/>
  <c r="AQ10" i="8"/>
  <c r="AP10" i="8"/>
  <c r="AN10" i="8"/>
  <c r="M10" i="8"/>
  <c r="N10" i="8"/>
  <c r="P10" i="8"/>
  <c r="O10" i="8"/>
  <c r="L10" i="8"/>
  <c r="AB10" i="8"/>
  <c r="BF11" i="8" s="1"/>
  <c r="Z10" i="8"/>
  <c r="X10" i="8"/>
  <c r="AO11" i="8" s="1"/>
  <c r="AF10" i="7"/>
  <c r="U10" i="7"/>
  <c r="W10" i="7"/>
  <c r="AC10" i="7"/>
  <c r="AG10" i="7"/>
  <c r="AE10" i="7"/>
  <c r="Y10" i="7"/>
  <c r="AJ9" i="7" a="1"/>
  <c r="AJ9" i="7" s="1"/>
  <c r="V10" i="7"/>
  <c r="AD10" i="7"/>
  <c r="X10" i="7"/>
  <c r="U10" i="6"/>
  <c r="W10" i="6"/>
  <c r="AC10" i="6"/>
  <c r="AG10" i="6"/>
  <c r="Y10" i="6"/>
  <c r="AE10" i="6"/>
  <c r="AJ9" i="6" a="1"/>
  <c r="AJ9" i="6" s="1"/>
  <c r="V10" i="6"/>
  <c r="X10" i="6"/>
  <c r="AD10" i="6"/>
  <c r="AF10" i="6"/>
  <c r="AD11" i="3"/>
  <c r="M10" i="9" l="1"/>
  <c r="E10" i="9"/>
  <c r="G10" i="9"/>
  <c r="O10" i="9"/>
  <c r="I10" i="9"/>
  <c r="Q10" i="9"/>
  <c r="AF11" i="9" s="1"/>
  <c r="F10" i="9"/>
  <c r="N10" i="9"/>
  <c r="H10" i="9"/>
  <c r="P10" i="9"/>
  <c r="AQ11" i="8"/>
  <c r="BD11" i="8"/>
  <c r="AD10" i="8"/>
  <c r="AC10" i="8"/>
  <c r="H10" i="8"/>
  <c r="AA10" i="8"/>
  <c r="F10" i="8"/>
  <c r="Y10" i="8"/>
  <c r="BC11" i="8" s="1"/>
  <c r="G10" i="8"/>
  <c r="K10" i="8"/>
  <c r="I10" i="8"/>
  <c r="J10" i="8"/>
  <c r="E10" i="8"/>
  <c r="AG11" i="8"/>
  <c r="AH11" i="8"/>
  <c r="AF11" i="8"/>
  <c r="AI11" i="8"/>
  <c r="BM12" i="8" s="1"/>
  <c r="M10" i="7"/>
  <c r="E10" i="7"/>
  <c r="G10" i="7"/>
  <c r="O10" i="7"/>
  <c r="Q10" i="7"/>
  <c r="AF11" i="7" s="1"/>
  <c r="I10" i="7"/>
  <c r="F10" i="7"/>
  <c r="N10" i="7"/>
  <c r="H10" i="7"/>
  <c r="P10" i="7"/>
  <c r="E10" i="6"/>
  <c r="M10" i="6"/>
  <c r="G10" i="6"/>
  <c r="O10" i="6"/>
  <c r="I10" i="6"/>
  <c r="Q10" i="6"/>
  <c r="AF11" i="6" s="1"/>
  <c r="F10" i="6"/>
  <c r="N10" i="6"/>
  <c r="P10" i="6"/>
  <c r="H10" i="6"/>
  <c r="N11" i="3"/>
  <c r="F11" i="3"/>
  <c r="P11" i="3"/>
  <c r="Y12" i="3" s="1"/>
  <c r="H11" i="3"/>
  <c r="AJ10" i="9" l="1" a="1"/>
  <c r="AJ10" i="9" s="1"/>
  <c r="V11" i="9"/>
  <c r="X11" i="9"/>
  <c r="AD11" i="9"/>
  <c r="U11" i="9"/>
  <c r="W11" i="9"/>
  <c r="AC11" i="9"/>
  <c r="AG11" i="9"/>
  <c r="Y11" i="9"/>
  <c r="AE11" i="9"/>
  <c r="BH11" i="8"/>
  <c r="BJ11" i="8"/>
  <c r="AT11" i="8"/>
  <c r="BG11" i="8"/>
  <c r="BI11" i="8"/>
  <c r="AR11" i="8"/>
  <c r="BE11" i="8"/>
  <c r="AY12" i="8"/>
  <c r="BL12" i="8"/>
  <c r="BN12" i="8"/>
  <c r="AW12" i="8"/>
  <c r="AU11" i="8"/>
  <c r="AE11" i="8" s="1"/>
  <c r="AS11" i="8"/>
  <c r="AP11" i="8"/>
  <c r="AN11" i="8"/>
  <c r="AX12" i="8"/>
  <c r="M11" i="8"/>
  <c r="P11" i="8"/>
  <c r="L11" i="8"/>
  <c r="AB11" i="8"/>
  <c r="BF12" i="8" s="1"/>
  <c r="N11" i="8"/>
  <c r="O11" i="8"/>
  <c r="AD11" i="8"/>
  <c r="Y11" i="8"/>
  <c r="BC12" i="8" s="1"/>
  <c r="AA11" i="8"/>
  <c r="BE12" i="8" s="1"/>
  <c r="Z11" i="8"/>
  <c r="BD12" i="8" s="1"/>
  <c r="X11" i="8"/>
  <c r="AO12" i="8" s="1"/>
  <c r="AJ10" i="7" a="1"/>
  <c r="AJ10" i="7" s="1"/>
  <c r="V11" i="7"/>
  <c r="X11" i="7"/>
  <c r="AD11" i="7"/>
  <c r="U11" i="7"/>
  <c r="AC11" i="7"/>
  <c r="W11" i="7"/>
  <c r="AG11" i="7"/>
  <c r="Y11" i="7"/>
  <c r="AE11" i="7"/>
  <c r="AJ10" i="6" a="1"/>
  <c r="AJ10" i="6" s="1"/>
  <c r="V11" i="6"/>
  <c r="AD11" i="6"/>
  <c r="X11" i="6"/>
  <c r="U11" i="6"/>
  <c r="AC11" i="6"/>
  <c r="W11" i="6"/>
  <c r="AG11" i="6"/>
  <c r="Y11" i="6"/>
  <c r="AE11" i="6"/>
  <c r="AC12" i="3"/>
  <c r="W12" i="3"/>
  <c r="U12" i="3"/>
  <c r="AE12" i="3"/>
  <c r="AG12" i="3"/>
  <c r="F11" i="9" l="1"/>
  <c r="N11" i="9"/>
  <c r="H11" i="9"/>
  <c r="P11" i="9"/>
  <c r="M11" i="9"/>
  <c r="E11" i="9"/>
  <c r="G11" i="9"/>
  <c r="O11" i="9"/>
  <c r="I11" i="9"/>
  <c r="Q11" i="9"/>
  <c r="AF12" i="9" s="1"/>
  <c r="AV12" i="8"/>
  <c r="BK12" i="8"/>
  <c r="AU12" i="8"/>
  <c r="BJ12" i="8"/>
  <c r="BH12" i="8"/>
  <c r="AQ12" i="8"/>
  <c r="AS12" i="8"/>
  <c r="AP12" i="8"/>
  <c r="AN12" i="8"/>
  <c r="AC11" i="8"/>
  <c r="H11" i="8"/>
  <c r="G11" i="8"/>
  <c r="I11" i="8"/>
  <c r="K11" i="8"/>
  <c r="J11" i="8"/>
  <c r="F11" i="8"/>
  <c r="E11" i="8"/>
  <c r="AF12" i="8"/>
  <c r="AH12" i="8"/>
  <c r="AI12" i="8"/>
  <c r="BM13" i="8" s="1"/>
  <c r="AG12" i="8"/>
  <c r="AE12" i="8"/>
  <c r="F11" i="7"/>
  <c r="N11" i="7"/>
  <c r="P11" i="7"/>
  <c r="H11" i="7"/>
  <c r="E11" i="7"/>
  <c r="M11" i="7"/>
  <c r="G11" i="7"/>
  <c r="O11" i="7"/>
  <c r="Q11" i="7"/>
  <c r="I11" i="7"/>
  <c r="F11" i="6"/>
  <c r="N11" i="6"/>
  <c r="H11" i="6"/>
  <c r="P11" i="6"/>
  <c r="M11" i="6"/>
  <c r="E11" i="6"/>
  <c r="O11" i="6"/>
  <c r="G11" i="6"/>
  <c r="Q11" i="6"/>
  <c r="I11" i="6"/>
  <c r="E12" i="3"/>
  <c r="M12" i="3"/>
  <c r="V13" i="3" s="1"/>
  <c r="I12" i="3"/>
  <c r="Q12" i="3"/>
  <c r="AF13" i="3" s="1"/>
  <c r="G12" i="3"/>
  <c r="O12" i="3"/>
  <c r="X13" i="3" s="1"/>
  <c r="U12" i="9" l="1"/>
  <c r="AC12" i="9"/>
  <c r="W12" i="9"/>
  <c r="AE12" i="9"/>
  <c r="Y12" i="9"/>
  <c r="AG12" i="9"/>
  <c r="AJ11" i="9" a="1"/>
  <c r="AJ11" i="9" s="1"/>
  <c r="V12" i="9"/>
  <c r="X12" i="9"/>
  <c r="AD12" i="9"/>
  <c r="BI12" i="8"/>
  <c r="BG12" i="8"/>
  <c r="AY13" i="8"/>
  <c r="BL13" i="8"/>
  <c r="BN13" i="8"/>
  <c r="AX13" i="8"/>
  <c r="BK13" i="8"/>
  <c r="AW13" i="8"/>
  <c r="AV13" i="8"/>
  <c r="AT12" i="8"/>
  <c r="AR12" i="8"/>
  <c r="M12" i="8"/>
  <c r="O12" i="8"/>
  <c r="L12" i="8"/>
  <c r="P12" i="8"/>
  <c r="N12" i="8"/>
  <c r="Z12" i="8"/>
  <c r="BD13" i="8" s="1"/>
  <c r="X12" i="8"/>
  <c r="AO13" i="8" s="1"/>
  <c r="AF12" i="6"/>
  <c r="AF12" i="7"/>
  <c r="U12" i="7"/>
  <c r="W12" i="7"/>
  <c r="AC12" i="7"/>
  <c r="AG12" i="7"/>
  <c r="Y12" i="7"/>
  <c r="AE12" i="7"/>
  <c r="AJ11" i="7" a="1"/>
  <c r="AJ11" i="7" s="1"/>
  <c r="V12" i="7"/>
  <c r="X12" i="7"/>
  <c r="AD12" i="7"/>
  <c r="U12" i="6"/>
  <c r="W12" i="6"/>
  <c r="AC12" i="6"/>
  <c r="AG12" i="6"/>
  <c r="AE12" i="6"/>
  <c r="Y12" i="6"/>
  <c r="AJ11" i="6" a="1"/>
  <c r="AJ11" i="6" s="1"/>
  <c r="V12" i="6"/>
  <c r="X12" i="6"/>
  <c r="AD12" i="6"/>
  <c r="AD13" i="3"/>
  <c r="E12" i="9" l="1"/>
  <c r="M12" i="9"/>
  <c r="G12" i="9"/>
  <c r="O12" i="9"/>
  <c r="Q12" i="9"/>
  <c r="AF13" i="9" s="1"/>
  <c r="I12" i="9"/>
  <c r="F12" i="9"/>
  <c r="N12" i="9"/>
  <c r="P12" i="9"/>
  <c r="H12" i="9"/>
  <c r="AD12" i="8"/>
  <c r="K12" i="8"/>
  <c r="AB12" i="8"/>
  <c r="BF13" i="8" s="1"/>
  <c r="AC12" i="8"/>
  <c r="H12" i="8"/>
  <c r="AA12" i="8"/>
  <c r="BE13" i="8" s="1"/>
  <c r="F12" i="8"/>
  <c r="Y12" i="8"/>
  <c r="BC13" i="8" s="1"/>
  <c r="G12" i="8"/>
  <c r="J12" i="8"/>
  <c r="I12" i="8"/>
  <c r="E12" i="8"/>
  <c r="AI13" i="8"/>
  <c r="BM14" i="8" s="1"/>
  <c r="AG13" i="8"/>
  <c r="M12" i="7"/>
  <c r="E12" i="7"/>
  <c r="G12" i="7"/>
  <c r="O12" i="7"/>
  <c r="I12" i="7"/>
  <c r="Q12" i="7"/>
  <c r="F12" i="7"/>
  <c r="N12" i="7"/>
  <c r="H12" i="7"/>
  <c r="P12" i="7"/>
  <c r="E12" i="6"/>
  <c r="M12" i="6"/>
  <c r="O12" i="6"/>
  <c r="G12" i="6"/>
  <c r="Q12" i="6"/>
  <c r="AF13" i="6" s="1"/>
  <c r="I12" i="6"/>
  <c r="N12" i="6"/>
  <c r="F12" i="6"/>
  <c r="H12" i="6"/>
  <c r="P12" i="6"/>
  <c r="N13" i="3"/>
  <c r="F13" i="3"/>
  <c r="P13" i="3"/>
  <c r="Y14" i="3" s="1"/>
  <c r="H13" i="3"/>
  <c r="AJ12" i="9" l="1" a="1"/>
  <c r="AJ12" i="9" s="1"/>
  <c r="V13" i="9"/>
  <c r="X13" i="9"/>
  <c r="AD13" i="9"/>
  <c r="U13" i="9"/>
  <c r="W13" i="9"/>
  <c r="AC13" i="9"/>
  <c r="AG13" i="9"/>
  <c r="Y13" i="9"/>
  <c r="AE13" i="9"/>
  <c r="AR13" i="8"/>
  <c r="AU13" i="8"/>
  <c r="BH13" i="8"/>
  <c r="BJ13" i="8"/>
  <c r="AT13" i="8"/>
  <c r="BG13" i="8"/>
  <c r="BI13" i="8"/>
  <c r="AX14" i="8"/>
  <c r="AS13" i="8"/>
  <c r="AQ13" i="8"/>
  <c r="AP13" i="8"/>
  <c r="AN13" i="8"/>
  <c r="X13" i="8" s="1"/>
  <c r="AF13" i="8"/>
  <c r="AH13" i="8"/>
  <c r="AE13" i="8"/>
  <c r="K13" i="8"/>
  <c r="AD13" i="8"/>
  <c r="M13" i="8"/>
  <c r="O13" i="8"/>
  <c r="N13" i="8"/>
  <c r="L13" i="8"/>
  <c r="P13" i="8"/>
  <c r="AC13" i="8"/>
  <c r="Y13" i="8"/>
  <c r="BC14" i="8" s="1"/>
  <c r="AJ12" i="7" a="1"/>
  <c r="AJ12" i="7" s="1"/>
  <c r="V13" i="7"/>
  <c r="AD13" i="7"/>
  <c r="X13" i="7"/>
  <c r="U13" i="7"/>
  <c r="W13" i="7"/>
  <c r="AC13" i="7"/>
  <c r="Y13" i="7"/>
  <c r="AE13" i="7"/>
  <c r="AG13" i="7"/>
  <c r="AF13" i="7"/>
  <c r="AJ12" i="6" a="1"/>
  <c r="AJ12" i="6" s="1"/>
  <c r="V13" i="6"/>
  <c r="X13" i="6"/>
  <c r="AD13" i="6"/>
  <c r="U13" i="6"/>
  <c r="W13" i="6"/>
  <c r="AC13" i="6"/>
  <c r="AG13" i="6"/>
  <c r="Y13" i="6"/>
  <c r="AE13" i="6"/>
  <c r="AC14" i="3"/>
  <c r="W14" i="3"/>
  <c r="U14" i="3"/>
  <c r="AE14" i="3"/>
  <c r="AG14" i="3"/>
  <c r="F13" i="9" l="1"/>
  <c r="N13" i="9"/>
  <c r="H13" i="9"/>
  <c r="P13" i="9"/>
  <c r="E13" i="9"/>
  <c r="M13" i="9"/>
  <c r="G13" i="9"/>
  <c r="O13" i="9"/>
  <c r="I13" i="9"/>
  <c r="Q13" i="9"/>
  <c r="AW14" i="8"/>
  <c r="BJ14" i="8"/>
  <c r="AY14" i="8"/>
  <c r="BL14" i="8"/>
  <c r="BN14" i="8"/>
  <c r="AV14" i="8"/>
  <c r="BK14" i="8"/>
  <c r="BI14" i="8"/>
  <c r="AU14" i="8"/>
  <c r="AA13" i="8"/>
  <c r="AT14" i="8"/>
  <c r="AN14" i="8"/>
  <c r="AB13" i="8"/>
  <c r="G13" i="8"/>
  <c r="Z13" i="8"/>
  <c r="BD14" i="8" s="1"/>
  <c r="H13" i="8"/>
  <c r="I13" i="8"/>
  <c r="J13" i="8"/>
  <c r="AF14" i="8"/>
  <c r="F13" i="8"/>
  <c r="E13" i="8"/>
  <c r="AI14" i="8"/>
  <c r="BM15" i="8" s="1"/>
  <c r="AG14" i="8"/>
  <c r="BK15" i="8" s="1"/>
  <c r="AE14" i="8"/>
  <c r="F13" i="7"/>
  <c r="N13" i="7"/>
  <c r="H13" i="7"/>
  <c r="P13" i="7"/>
  <c r="E13" i="7"/>
  <c r="M13" i="7"/>
  <c r="G13" i="7"/>
  <c r="O13" i="7"/>
  <c r="I13" i="7"/>
  <c r="Q13" i="7"/>
  <c r="AF14" i="7" s="1"/>
  <c r="F13" i="6"/>
  <c r="N13" i="6"/>
  <c r="H13" i="6"/>
  <c r="P13" i="6"/>
  <c r="M13" i="6"/>
  <c r="E13" i="6"/>
  <c r="G13" i="6"/>
  <c r="O13" i="6"/>
  <c r="I13" i="6"/>
  <c r="Q13" i="6"/>
  <c r="G14" i="3"/>
  <c r="O14" i="3"/>
  <c r="X15" i="3" s="1"/>
  <c r="Q14" i="3"/>
  <c r="I14" i="3"/>
  <c r="E14" i="3"/>
  <c r="M14" i="3"/>
  <c r="V15" i="3" s="1"/>
  <c r="U14" i="9" l="1"/>
  <c r="W14" i="9"/>
  <c r="AC14" i="9"/>
  <c r="AG14" i="9"/>
  <c r="Y14" i="9"/>
  <c r="AE14" i="9"/>
  <c r="AJ13" i="9" a="1"/>
  <c r="AJ13" i="9" s="1"/>
  <c r="V14" i="9"/>
  <c r="X14" i="9"/>
  <c r="AD14" i="9"/>
  <c r="AF14" i="9"/>
  <c r="AR14" i="8"/>
  <c r="AP14" i="8"/>
  <c r="BE14" i="8"/>
  <c r="BG14" i="8"/>
  <c r="AS14" i="8"/>
  <c r="BH14" i="8"/>
  <c r="BF14" i="8"/>
  <c r="AV15" i="8"/>
  <c r="AX15" i="8"/>
  <c r="AQ14" i="8"/>
  <c r="AO14" i="8"/>
  <c r="AH14" i="8"/>
  <c r="M14" i="8"/>
  <c r="P14" i="8"/>
  <c r="O14" i="8"/>
  <c r="K14" i="8"/>
  <c r="N14" i="8"/>
  <c r="L14" i="8"/>
  <c r="AC14" i="8"/>
  <c r="Y14" i="8"/>
  <c r="BC15" i="8" s="1"/>
  <c r="Z14" i="8"/>
  <c r="BD15" i="8" s="1"/>
  <c r="X14" i="8"/>
  <c r="AO15" i="8" s="1"/>
  <c r="U14" i="7"/>
  <c r="W14" i="7"/>
  <c r="AC14" i="7"/>
  <c r="AG14" i="7"/>
  <c r="Y14" i="7"/>
  <c r="AE14" i="7"/>
  <c r="AJ13" i="7" a="1"/>
  <c r="AJ13" i="7" s="1"/>
  <c r="V14" i="7"/>
  <c r="X14" i="7"/>
  <c r="AD14" i="7"/>
  <c r="U14" i="6"/>
  <c r="W14" i="6"/>
  <c r="AC14" i="6"/>
  <c r="AG14" i="6"/>
  <c r="Y14" i="6"/>
  <c r="AE14" i="6"/>
  <c r="AJ13" i="6" a="1"/>
  <c r="AJ13" i="6" s="1"/>
  <c r="V14" i="6"/>
  <c r="X14" i="6"/>
  <c r="AD14" i="6"/>
  <c r="AF14" i="6"/>
  <c r="AF15" i="3"/>
  <c r="AD15" i="3"/>
  <c r="M14" i="9" l="1"/>
  <c r="E14" i="9"/>
  <c r="G14" i="9"/>
  <c r="O14" i="9"/>
  <c r="I14" i="9"/>
  <c r="Q14" i="9"/>
  <c r="AF15" i="9" s="1"/>
  <c r="F14" i="9"/>
  <c r="N14" i="9"/>
  <c r="H14" i="9"/>
  <c r="P14" i="9"/>
  <c r="BL15" i="8"/>
  <c r="BN15" i="8"/>
  <c r="AT15" i="8"/>
  <c r="BI15" i="8"/>
  <c r="AY15" i="8"/>
  <c r="AW15" i="8"/>
  <c r="AN15" i="8"/>
  <c r="AD14" i="8"/>
  <c r="AB14" i="8"/>
  <c r="BF15" i="8" s="1"/>
  <c r="H14" i="8"/>
  <c r="AA14" i="8"/>
  <c r="G14" i="8"/>
  <c r="J14" i="8"/>
  <c r="I14" i="8"/>
  <c r="F14" i="8"/>
  <c r="E14" i="8"/>
  <c r="AD15" i="8"/>
  <c r="AF15" i="8"/>
  <c r="AH15" i="8"/>
  <c r="AI15" i="8"/>
  <c r="BM16" i="8" s="1"/>
  <c r="AG15" i="8"/>
  <c r="M14" i="7"/>
  <c r="E14" i="7"/>
  <c r="G14" i="7"/>
  <c r="O14" i="7"/>
  <c r="I14" i="7"/>
  <c r="Q14" i="7"/>
  <c r="AF15" i="7" s="1"/>
  <c r="F14" i="7"/>
  <c r="N14" i="7"/>
  <c r="H14" i="7"/>
  <c r="P14" i="7"/>
  <c r="E14" i="6"/>
  <c r="M14" i="6"/>
  <c r="G14" i="6"/>
  <c r="O14" i="6"/>
  <c r="I14" i="6"/>
  <c r="Q14" i="6"/>
  <c r="AF15" i="6" s="1"/>
  <c r="F14" i="6"/>
  <c r="N14" i="6"/>
  <c r="H14" i="6"/>
  <c r="P14" i="6"/>
  <c r="H15" i="3"/>
  <c r="P15" i="3"/>
  <c r="Y16" i="3" s="1"/>
  <c r="N15" i="3"/>
  <c r="F15" i="3"/>
  <c r="AJ14" i="9" l="1" a="1"/>
  <c r="AJ14" i="9" s="1"/>
  <c r="V15" i="9"/>
  <c r="X15" i="9"/>
  <c r="AD15" i="9"/>
  <c r="U15" i="9"/>
  <c r="W15" i="9"/>
  <c r="AC15" i="9"/>
  <c r="AG15" i="9"/>
  <c r="Y15" i="9"/>
  <c r="AE15" i="9"/>
  <c r="AX16" i="8"/>
  <c r="AU15" i="8"/>
  <c r="BH15" i="8"/>
  <c r="BJ15" i="8"/>
  <c r="BG15" i="8"/>
  <c r="BE15" i="8"/>
  <c r="AW16" i="8"/>
  <c r="BJ16" i="8"/>
  <c r="AY16" i="8"/>
  <c r="BL16" i="8"/>
  <c r="BN16" i="8"/>
  <c r="AE15" i="8"/>
  <c r="AU16" i="8"/>
  <c r="AS15" i="8"/>
  <c r="AQ15" i="8"/>
  <c r="AP15" i="8"/>
  <c r="AR15" i="8"/>
  <c r="K15" i="8"/>
  <c r="M15" i="8"/>
  <c r="O15" i="8"/>
  <c r="P15" i="8"/>
  <c r="N15" i="8"/>
  <c r="L15" i="8"/>
  <c r="AC15" i="8"/>
  <c r="BG16" i="8" s="1"/>
  <c r="AA15" i="8"/>
  <c r="X15" i="8"/>
  <c r="AJ14" i="7" a="1"/>
  <c r="AJ14" i="7" s="1"/>
  <c r="V15" i="7"/>
  <c r="X15" i="7"/>
  <c r="AD15" i="7"/>
  <c r="W15" i="7"/>
  <c r="AC15" i="7"/>
  <c r="U15" i="7"/>
  <c r="Y15" i="7"/>
  <c r="AE15" i="7"/>
  <c r="AG15" i="7"/>
  <c r="AJ14" i="6" a="1"/>
  <c r="AJ14" i="6" s="1"/>
  <c r="V15" i="6"/>
  <c r="AD15" i="6"/>
  <c r="X15" i="6"/>
  <c r="U15" i="6"/>
  <c r="W15" i="6"/>
  <c r="AC15" i="6"/>
  <c r="Y15" i="6"/>
  <c r="AE15" i="6"/>
  <c r="AG15" i="6"/>
  <c r="W16" i="3"/>
  <c r="U16" i="3"/>
  <c r="AG16" i="3"/>
  <c r="AE16" i="3"/>
  <c r="AC16" i="3"/>
  <c r="F15" i="9" l="1"/>
  <c r="N15" i="9"/>
  <c r="H15" i="9"/>
  <c r="P15" i="9"/>
  <c r="E15" i="9"/>
  <c r="M15" i="9"/>
  <c r="G15" i="9"/>
  <c r="O15" i="9"/>
  <c r="I15" i="9"/>
  <c r="Q15" i="9"/>
  <c r="AF16" i="9" s="1"/>
  <c r="AV16" i="8"/>
  <c r="BI16" i="8"/>
  <c r="BK16" i="8"/>
  <c r="AR16" i="8"/>
  <c r="AT16" i="8"/>
  <c r="Y15" i="8"/>
  <c r="Z15" i="8"/>
  <c r="BD16" i="8" s="1"/>
  <c r="I15" i="8"/>
  <c r="AB15" i="8"/>
  <c r="F15" i="8"/>
  <c r="J15" i="8"/>
  <c r="G15" i="8"/>
  <c r="H15" i="8"/>
  <c r="AE16" i="8"/>
  <c r="E15" i="8"/>
  <c r="AG16" i="8"/>
  <c r="AH16" i="8"/>
  <c r="AI16" i="8"/>
  <c r="N15" i="7"/>
  <c r="F15" i="7"/>
  <c r="H15" i="7"/>
  <c r="P15" i="7"/>
  <c r="G15" i="7"/>
  <c r="O15" i="7"/>
  <c r="E15" i="7"/>
  <c r="M15" i="7"/>
  <c r="Q15" i="7"/>
  <c r="I15" i="7"/>
  <c r="F15" i="6"/>
  <c r="N15" i="6"/>
  <c r="H15" i="6"/>
  <c r="P15" i="6"/>
  <c r="E15" i="6"/>
  <c r="M15" i="6"/>
  <c r="G15" i="6"/>
  <c r="O15" i="6"/>
  <c r="I15" i="6"/>
  <c r="Q15" i="6"/>
  <c r="AF16" i="6" s="1"/>
  <c r="E16" i="3"/>
  <c r="M16" i="3"/>
  <c r="I16" i="3"/>
  <c r="Q16" i="3"/>
  <c r="G16" i="3"/>
  <c r="O16" i="3"/>
  <c r="M7" i="3"/>
  <c r="AD8" i="3" s="1"/>
  <c r="E7" i="3"/>
  <c r="U16" i="9" l="1"/>
  <c r="W16" i="9"/>
  <c r="AC16" i="9"/>
  <c r="AG16" i="9"/>
  <c r="Y16" i="9"/>
  <c r="AE16" i="9"/>
  <c r="AJ15" i="9" a="1"/>
  <c r="AJ15" i="9" s="1"/>
  <c r="V16" i="9"/>
  <c r="X16" i="9"/>
  <c r="AD16" i="9"/>
  <c r="BC16" i="8"/>
  <c r="BE16" i="8"/>
  <c r="AS16" i="8"/>
  <c r="BF16" i="8"/>
  <c r="BH16" i="8"/>
  <c r="AP16" i="8"/>
  <c r="Z16" i="8" s="1"/>
  <c r="AN16" i="8"/>
  <c r="AQ16" i="8"/>
  <c r="AO16" i="8"/>
  <c r="AF16" i="8"/>
  <c r="O16" i="8"/>
  <c r="P16" i="8"/>
  <c r="N16" i="8"/>
  <c r="L16" i="8"/>
  <c r="M16" i="8"/>
  <c r="AD16" i="8"/>
  <c r="AB16" i="8"/>
  <c r="AF16" i="7"/>
  <c r="U16" i="7"/>
  <c r="W16" i="7"/>
  <c r="AC16" i="7"/>
  <c r="AG16" i="7"/>
  <c r="Y16" i="7"/>
  <c r="AE16" i="7"/>
  <c r="X16" i="7"/>
  <c r="AD16" i="7"/>
  <c r="AJ15" i="7" a="1"/>
  <c r="AJ15" i="7" s="1"/>
  <c r="V16" i="7"/>
  <c r="U16" i="6"/>
  <c r="W16" i="6"/>
  <c r="AC16" i="6"/>
  <c r="AG16" i="6"/>
  <c r="Y16" i="6"/>
  <c r="AE16" i="6"/>
  <c r="AJ15" i="6" a="1"/>
  <c r="AJ15" i="6" s="1"/>
  <c r="V16" i="6"/>
  <c r="X16" i="6"/>
  <c r="AD16" i="6"/>
  <c r="AJ7" i="3" a="1"/>
  <c r="AJ7" i="3" s="1"/>
  <c r="M16" i="9" l="1"/>
  <c r="E16" i="9"/>
  <c r="G16" i="9"/>
  <c r="O16" i="9"/>
  <c r="Q16" i="9"/>
  <c r="I16" i="9"/>
  <c r="F16" i="9"/>
  <c r="N16" i="9"/>
  <c r="H16" i="9"/>
  <c r="P16" i="9"/>
  <c r="Y16" i="8"/>
  <c r="AC16" i="8"/>
  <c r="AA16" i="8"/>
  <c r="E16" i="8"/>
  <c r="X16" i="8"/>
  <c r="G16" i="8"/>
  <c r="H16" i="8"/>
  <c r="K16" i="8"/>
  <c r="F16" i="8"/>
  <c r="I16" i="8"/>
  <c r="J16" i="8"/>
  <c r="M16" i="7"/>
  <c r="E16" i="7"/>
  <c r="G16" i="7"/>
  <c r="O16" i="7"/>
  <c r="Q16" i="7"/>
  <c r="I16" i="7"/>
  <c r="H16" i="7"/>
  <c r="P16" i="7"/>
  <c r="F16" i="7"/>
  <c r="N16" i="7"/>
  <c r="M16" i="6"/>
  <c r="E16" i="6"/>
  <c r="G16" i="6"/>
  <c r="O16" i="6"/>
  <c r="I16" i="6"/>
  <c r="Q16" i="6"/>
  <c r="F16" i="6"/>
  <c r="N16" i="6"/>
  <c r="H16" i="6"/>
  <c r="P16" i="6"/>
  <c r="N8" i="3"/>
  <c r="F8" i="3"/>
  <c r="AJ16" i="9" l="1" a="1"/>
  <c r="AJ16" i="9" s="1"/>
  <c r="AJ16" i="7" a="1"/>
  <c r="AJ16" i="7" s="1"/>
  <c r="AJ16" i="6" a="1"/>
  <c r="AJ16" i="6" s="1"/>
  <c r="W9" i="3"/>
  <c r="U9" i="3"/>
  <c r="AC9" i="3"/>
  <c r="AE9" i="3"/>
  <c r="AJ8" i="3" a="1"/>
  <c r="AJ8" i="3" s="1"/>
  <c r="M9" i="3"/>
  <c r="E9" i="3" l="1"/>
  <c r="O9" i="3"/>
  <c r="G9" i="3"/>
  <c r="X10" i="3" l="1"/>
  <c r="H10" i="3" s="1"/>
  <c r="V10" i="3"/>
  <c r="F10" i="3" s="1"/>
  <c r="AJ9" i="3" a="1"/>
  <c r="AJ9" i="3" s="1"/>
  <c r="AF10" i="3"/>
  <c r="AD10" i="3"/>
  <c r="N10" i="3"/>
  <c r="AC11" i="3" l="1"/>
  <c r="W11" i="3"/>
  <c r="U11" i="3"/>
  <c r="P10" i="3"/>
  <c r="Y11" i="3" s="1"/>
  <c r="AE11" i="3" l="1"/>
  <c r="O11" i="3" s="1"/>
  <c r="AG11" i="3"/>
  <c r="AJ10" i="3" a="1"/>
  <c r="AJ10" i="3" s="1"/>
  <c r="M11" i="3"/>
  <c r="V12" i="3" s="1"/>
  <c r="E11" i="3"/>
  <c r="G11" i="3"/>
  <c r="I11" i="3" l="1"/>
  <c r="Q11" i="3"/>
  <c r="AF12" i="3"/>
  <c r="AD12" i="3"/>
  <c r="X12" i="3" l="1"/>
  <c r="AJ11" i="3" a="1"/>
  <c r="AJ11" i="3" s="1"/>
  <c r="F12" i="3"/>
  <c r="N12" i="3"/>
  <c r="P12" i="3"/>
  <c r="Y13" i="3" s="1"/>
  <c r="H12" i="3"/>
  <c r="AC13" i="3" l="1"/>
  <c r="W13" i="3"/>
  <c r="U13" i="3"/>
  <c r="AE13" i="3"/>
  <c r="AG13" i="3"/>
  <c r="AJ12" i="3" a="1"/>
  <c r="AJ12" i="3" s="1"/>
  <c r="G13" i="3" l="1"/>
  <c r="O13" i="3"/>
  <c r="X14" i="3" s="1"/>
  <c r="M13" i="3"/>
  <c r="V14" i="3" s="1"/>
  <c r="E13" i="3"/>
  <c r="I13" i="3"/>
  <c r="Q13" i="3"/>
  <c r="AF14" i="3" s="1"/>
  <c r="AD14" i="3" l="1"/>
  <c r="AJ13" i="3" a="1"/>
  <c r="AJ13" i="3" s="1"/>
  <c r="P14" i="3" l="1"/>
  <c r="Y15" i="3" s="1"/>
  <c r="H14" i="3"/>
  <c r="N14" i="3"/>
  <c r="F14" i="3"/>
  <c r="AC15" i="3" l="1"/>
  <c r="W15" i="3"/>
  <c r="U15" i="3"/>
  <c r="AE15" i="3"/>
  <c r="AG15" i="3"/>
  <c r="AJ14" i="3" a="1"/>
  <c r="AJ14" i="3" s="1"/>
  <c r="Q15" i="3" l="1"/>
  <c r="I15" i="3"/>
  <c r="M15" i="3"/>
  <c r="V16" i="3" s="1"/>
  <c r="E15" i="3"/>
  <c r="O15" i="3"/>
  <c r="X16" i="3" s="1"/>
  <c r="G15" i="3"/>
  <c r="AF16" i="3" l="1"/>
  <c r="AD16" i="3"/>
  <c r="AJ15" i="3" a="1"/>
  <c r="AJ15" i="3" s="1"/>
  <c r="P16" i="3" l="1"/>
  <c r="H16" i="3"/>
  <c r="F16" i="3"/>
  <c r="N16" i="3"/>
  <c r="AJ16" i="3" l="1" a="1"/>
  <c r="AJ1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<sst xmlns="http://schemas.openxmlformats.org/spreadsheetml/2006/main" count="211" uniqueCount="23">
  <si>
    <t>discount rate</t>
    <phoneticPr fontId="1" type="noConversion"/>
  </si>
  <si>
    <t>% planned</t>
    <phoneticPr fontId="1" type="noConversion"/>
  </si>
  <si>
    <t>% surprise</t>
    <phoneticPr fontId="1" type="noConversion"/>
  </si>
  <si>
    <t>t=</t>
    <phoneticPr fontId="1" type="noConversion"/>
  </si>
  <si>
    <t>Policy</t>
    <phoneticPr fontId="1" type="noConversion"/>
  </si>
  <si>
    <t>V(s)</t>
    <phoneticPr fontId="1" type="noConversion"/>
  </si>
  <si>
    <t>R(s, a)</t>
    <phoneticPr fontId="1" type="noConversion"/>
  </si>
  <si>
    <t>Q(s, &lt;)</t>
    <phoneticPr fontId="1" type="noConversion"/>
  </si>
  <si>
    <t>Q(s,&gt;)</t>
    <phoneticPr fontId="1" type="noConversion"/>
  </si>
  <si>
    <t>epsilon</t>
    <phoneticPr fontId="1" type="noConversion"/>
  </si>
  <si>
    <t>x</t>
    <phoneticPr fontId="1" type="noConversion"/>
  </si>
  <si>
    <t>Delta</t>
  </si>
  <si>
    <t>Equations:</t>
  </si>
  <si>
    <t>Q(S,&gt;)</t>
  </si>
  <si>
    <t>"=U$2+$B$2*(L6*$B$3 + N6*$B$4)"</t>
  </si>
  <si>
    <t>Q(S,&lt;)</t>
  </si>
  <si>
    <t>"=AC$2+$B$2*(N6*$B$3 + L6*$B$4)"</t>
  </si>
  <si>
    <t>V(s)</t>
  </si>
  <si>
    <t>"=MAX(U7,AC7)"</t>
  </si>
  <si>
    <t>Policy</t>
  </si>
  <si>
    <t>"=IF(U7 = AC7,"?", IF(U7 &gt; AC7, "&lt;", "&gt;"))"</t>
  </si>
  <si>
    <t>"=MAX(L7:R7-L6:R6)"</t>
  </si>
  <si>
    <t>the policy seems to split at the halfway point, favoring the goal that its closest too.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</si>
</sst>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sz val="8"/>
      <name val="Verdana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25DC-3C29-8547-9404-FD98E5FE6E14}">
  <dimension ref="A1:AJ24"/>
  <sheetViews>
    <sheetView zoomScale="150" workbookViewId="0">
      <selection activeCell="B25" sqref="B25"/>
    </sheetView>
  </sheetViews>
  <sheetFormatPr baseColWidth="10" defaultRowHeight="13" x14ac:dyDescent="0.15"/>
  <cols>
    <col min="1" max="1" width="12" bestFit="1" customWidth="1"/>
    <col min="2" max="2" width="5" bestFit="1" customWidth="1"/>
    <col min="3" max="3" width="3.33203125" bestFit="1" customWidth="1"/>
    <col min="4" max="10" width="2.1640625" bestFit="1" customWidth="1"/>
    <col min="11" max="11" width="3.5" customWidth="1"/>
    <col min="12" max="17" width="5" bestFit="1" customWidth="1"/>
    <col min="18" max="18" width="7.1640625" bestFit="1" customWidth="1"/>
    <col min="19" max="19" width="3.5" customWidth="1"/>
    <col min="20" max="26" width="5" bestFit="1" customWidth="1"/>
    <col min="27" max="27" width="3.5" customWidth="1"/>
    <col min="28" max="34" width="5" bestFit="1" customWidth="1"/>
    <col min="36" max="36" width="12.33203125" customWidth="1"/>
  </cols>
  <sheetData>
    <row r="1" spans="1:36" x14ac:dyDescent="0.15">
      <c r="A1" t="s">
        <v>9</v>
      </c>
      <c r="B1" s="3">
        <v>0.01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B1">
        <v>1</v>
      </c>
      <c r="AC1">
        <v>2</v>
      </c>
      <c r="AD1">
        <v>3</v>
      </c>
      <c r="AE1">
        <v>4</v>
      </c>
      <c r="AF1">
        <v>5</v>
      </c>
      <c r="AG1">
        <v>6</v>
      </c>
      <c r="AH1">
        <v>7</v>
      </c>
    </row>
    <row r="2" spans="1:36" x14ac:dyDescent="0.15">
      <c r="A2" t="s">
        <v>0</v>
      </c>
      <c r="B2" s="3">
        <v>0.9</v>
      </c>
      <c r="R2" t="s">
        <v>6</v>
      </c>
      <c r="T2" s="2">
        <v>5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5</v>
      </c>
    </row>
    <row r="3" spans="1:36" x14ac:dyDescent="0.15">
      <c r="A3" t="s">
        <v>1</v>
      </c>
      <c r="B3" s="3">
        <v>0.9</v>
      </c>
    </row>
    <row r="4" spans="1:36" x14ac:dyDescent="0.15">
      <c r="A4" t="s">
        <v>2</v>
      </c>
      <c r="B4" s="3">
        <f>1-B3</f>
        <v>9.9999999999999978E-2</v>
      </c>
      <c r="D4" s="4" t="s">
        <v>4</v>
      </c>
      <c r="E4" s="4"/>
      <c r="F4" s="4"/>
      <c r="G4" s="4"/>
      <c r="H4" s="4"/>
      <c r="I4" s="4"/>
      <c r="J4" s="4"/>
      <c r="L4" s="4" t="s">
        <v>5</v>
      </c>
      <c r="M4" s="4"/>
      <c r="N4" s="4"/>
      <c r="O4" s="4"/>
      <c r="P4" s="4"/>
      <c r="Q4" s="4"/>
      <c r="R4" s="4"/>
      <c r="T4" s="4" t="s">
        <v>7</v>
      </c>
      <c r="U4" s="4"/>
      <c r="V4" s="4"/>
      <c r="W4" s="4"/>
      <c r="X4" s="4"/>
      <c r="Y4" s="4"/>
      <c r="Z4" s="4"/>
      <c r="AB4" s="4" t="s">
        <v>8</v>
      </c>
      <c r="AC4" s="4"/>
      <c r="AD4" s="4"/>
      <c r="AE4" s="4"/>
      <c r="AF4" s="4"/>
      <c r="AG4" s="4"/>
      <c r="AH4" s="4"/>
    </row>
    <row r="5" spans="1:36" x14ac:dyDescent="0.15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T5">
        <v>1</v>
      </c>
      <c r="U5">
        <v>2</v>
      </c>
      <c r="V5">
        <v>3</v>
      </c>
      <c r="W5">
        <v>4</v>
      </c>
      <c r="X5">
        <v>5</v>
      </c>
      <c r="Y5">
        <v>6</v>
      </c>
      <c r="Z5">
        <v>7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</row>
    <row r="6" spans="1:36" x14ac:dyDescent="0.15">
      <c r="B6" t="s">
        <v>3</v>
      </c>
      <c r="C6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AJ6" s="5" t="s">
        <v>11</v>
      </c>
    </row>
    <row r="7" spans="1:36" x14ac:dyDescent="0.15">
      <c r="C7">
        <v>1</v>
      </c>
      <c r="D7" s="2" t="s">
        <v>10</v>
      </c>
      <c r="E7" s="2" t="str">
        <f>IF(U7 = AC7,"?", IF(U7 &gt; AC7, "&lt;", "&gt;"))</f>
        <v>?</v>
      </c>
      <c r="F7" s="2" t="str">
        <f t="shared" ref="F7:I7" si="0">IF(V7 = AD7,"?", IF(V7 &gt; AD7, "&lt;", "&gt;"))</f>
        <v>?</v>
      </c>
      <c r="G7" s="2" t="str">
        <f t="shared" si="0"/>
        <v>?</v>
      </c>
      <c r="H7" s="2" t="str">
        <f t="shared" si="0"/>
        <v>?</v>
      </c>
      <c r="I7" s="2" t="str">
        <f t="shared" si="0"/>
        <v>?</v>
      </c>
      <c r="J7" s="2" t="s">
        <v>10</v>
      </c>
      <c r="L7" s="2">
        <f>MAX(T7,AB7)</f>
        <v>5</v>
      </c>
      <c r="M7" s="2">
        <f t="shared" ref="M7:R7" si="1">MAX(U7,AC7)</f>
        <v>0</v>
      </c>
      <c r="N7" s="2">
        <f t="shared" si="1"/>
        <v>0</v>
      </c>
      <c r="O7" s="2">
        <f t="shared" si="1"/>
        <v>0</v>
      </c>
      <c r="P7" s="2">
        <f t="shared" si="1"/>
        <v>0</v>
      </c>
      <c r="Q7" s="2">
        <f t="shared" si="1"/>
        <v>0</v>
      </c>
      <c r="R7" s="2">
        <f t="shared" si="1"/>
        <v>5</v>
      </c>
      <c r="T7" s="2">
        <f>$T$2</f>
        <v>5</v>
      </c>
      <c r="U7" s="2">
        <f>U$2+$B$2*(L6*$B$3 + N6*$B$4)</f>
        <v>0</v>
      </c>
      <c r="V7" s="2">
        <f t="shared" ref="V7:Y7" si="2">V$2+$B$2*(M6*$B$3 + O6*$B$4)</f>
        <v>0</v>
      </c>
      <c r="W7" s="2">
        <f t="shared" si="2"/>
        <v>0</v>
      </c>
      <c r="X7" s="2">
        <f t="shared" si="2"/>
        <v>0</v>
      </c>
      <c r="Y7" s="2">
        <f t="shared" si="2"/>
        <v>0</v>
      </c>
      <c r="Z7" s="2">
        <v>0</v>
      </c>
      <c r="AB7" s="2">
        <v>0</v>
      </c>
      <c r="AC7" s="2">
        <f>AC$2+$B$2*(N6*$B$3 + L6*$B$4)</f>
        <v>0</v>
      </c>
      <c r="AD7" s="2">
        <f t="shared" ref="AD7:AG7" si="3">AD$2+$B$2*(O6*$B$3 + M6*$B$4)</f>
        <v>0</v>
      </c>
      <c r="AE7" s="2">
        <f t="shared" si="3"/>
        <v>0</v>
      </c>
      <c r="AF7" s="2">
        <f t="shared" si="3"/>
        <v>0</v>
      </c>
      <c r="AG7" s="2">
        <f t="shared" si="3"/>
        <v>0</v>
      </c>
      <c r="AH7" s="2">
        <f>$AH$2</f>
        <v>5</v>
      </c>
      <c r="AJ7" s="3" cm="1">
        <f t="array" ref="AJ7">MAX(L7:R7-L6:R6)</f>
        <v>5</v>
      </c>
    </row>
    <row r="8" spans="1:36" x14ac:dyDescent="0.15">
      <c r="C8">
        <v>2</v>
      </c>
      <c r="D8" s="2" t="s">
        <v>10</v>
      </c>
      <c r="E8" s="2" t="str">
        <f t="shared" ref="E8:E16" si="4">IF(U8 = AC8,"?", IF(U8 &gt; AC8, "&lt;", "&gt;"))</f>
        <v>&lt;</v>
      </c>
      <c r="F8" s="2" t="str">
        <f t="shared" ref="F8:F16" si="5">IF(V8 = AD8,"?", IF(V8 &gt; AD8, "&lt;", "&gt;"))</f>
        <v>?</v>
      </c>
      <c r="G8" s="2" t="str">
        <f t="shared" ref="G8:G16" si="6">IF(W8 = AE8,"?", IF(W8 &gt; AE8, "&lt;", "&gt;"))</f>
        <v>?</v>
      </c>
      <c r="H8" s="2" t="str">
        <f t="shared" ref="H8:H16" si="7">IF(X8 = AF8,"?", IF(X8 &gt; AF8, "&lt;", "&gt;"))</f>
        <v>?</v>
      </c>
      <c r="I8" s="2" t="str">
        <f t="shared" ref="I8:I16" si="8">IF(Y8 = AG8,"?", IF(Y8 &gt; AG8, "&lt;", "&gt;"))</f>
        <v>&gt;</v>
      </c>
      <c r="J8" s="2" t="s">
        <v>10</v>
      </c>
      <c r="L8" s="2">
        <f t="shared" ref="L8:L16" si="9">MAX(T8,AB8)</f>
        <v>5</v>
      </c>
      <c r="M8" s="2">
        <f t="shared" ref="M8:M16" si="10">MAX(U8,AC8)</f>
        <v>4.05</v>
      </c>
      <c r="N8" s="2">
        <f t="shared" ref="N8:N16" si="11">MAX(V8,AD8)</f>
        <v>0</v>
      </c>
      <c r="O8" s="2">
        <f t="shared" ref="O8:O16" si="12">MAX(W8,AE8)</f>
        <v>0</v>
      </c>
      <c r="P8" s="2">
        <f t="shared" ref="P8:P16" si="13">MAX(X8,AF8)</f>
        <v>0</v>
      </c>
      <c r="Q8" s="2">
        <f t="shared" ref="Q8:Q16" si="14">MAX(Y8,AG8)</f>
        <v>4.05</v>
      </c>
      <c r="R8" s="2">
        <f t="shared" ref="R8:R16" si="15">MAX(Z8,AH8)</f>
        <v>5</v>
      </c>
      <c r="T8" s="2">
        <f t="shared" ref="T8:T16" si="16">$T$2</f>
        <v>5</v>
      </c>
      <c r="U8" s="2">
        <f t="shared" ref="U8:U16" si="17">U$2+$B$2*(L7*$B$3 + N7*$B$4)</f>
        <v>4.05</v>
      </c>
      <c r="V8" s="2">
        <f t="shared" ref="V8:V16" si="18">V$2+$B$2*(M7*$B$3 + O7*$B$4)</f>
        <v>0</v>
      </c>
      <c r="W8" s="2">
        <f t="shared" ref="W8:W16" si="19">W$2+$B$2*(N7*$B$3 + P7*$B$4)</f>
        <v>0</v>
      </c>
      <c r="X8" s="2">
        <f t="shared" ref="X8:X16" si="20">X$2+$B$2*(O7*$B$3 + Q7*$B$4)</f>
        <v>0</v>
      </c>
      <c r="Y8" s="2">
        <f t="shared" ref="Y8:Y16" si="21">Y$2+$B$2*(P7*$B$3 + R7*$B$4)</f>
        <v>0.4499999999999999</v>
      </c>
      <c r="Z8" s="2">
        <v>0</v>
      </c>
      <c r="AB8" s="2">
        <v>0</v>
      </c>
      <c r="AC8" s="2">
        <f t="shared" ref="AC8:AC16" si="22">AC$2+$B$2*(N7*$B$3 + L7*$B$4)</f>
        <v>0.4499999999999999</v>
      </c>
      <c r="AD8" s="2">
        <f t="shared" ref="AD8:AD16" si="23">AD$2+$B$2*(O7*$B$3 + M7*$B$4)</f>
        <v>0</v>
      </c>
      <c r="AE8" s="2">
        <f t="shared" ref="AE8:AE16" si="24">AE$2+$B$2*(P7*$B$3 + N7*$B$4)</f>
        <v>0</v>
      </c>
      <c r="AF8" s="2">
        <f t="shared" ref="AF8:AF16" si="25">AF$2+$B$2*(Q7*$B$3 + O7*$B$4)</f>
        <v>0</v>
      </c>
      <c r="AG8" s="2">
        <f t="shared" ref="AG8:AG16" si="26">AG$2+$B$2*(R7*$B$3 + P7*$B$4)</f>
        <v>4.05</v>
      </c>
      <c r="AH8" s="2">
        <f t="shared" ref="AH8:AH16" si="27">$AH$2</f>
        <v>5</v>
      </c>
      <c r="AJ8" s="3" cm="1">
        <f t="array" ref="AJ8">MAX(L8:R8-L7:R7)</f>
        <v>4.05</v>
      </c>
    </row>
    <row r="9" spans="1:36" x14ac:dyDescent="0.15">
      <c r="C9">
        <v>3</v>
      </c>
      <c r="D9" s="2" t="s">
        <v>10</v>
      </c>
      <c r="E9" s="2" t="str">
        <f t="shared" si="4"/>
        <v>&lt;</v>
      </c>
      <c r="F9" s="2" t="str">
        <f t="shared" si="5"/>
        <v>&lt;</v>
      </c>
      <c r="G9" s="2" t="str">
        <f t="shared" si="6"/>
        <v>?</v>
      </c>
      <c r="H9" s="2" t="str">
        <f t="shared" si="7"/>
        <v>&gt;</v>
      </c>
      <c r="I9" s="2" t="str">
        <f t="shared" si="8"/>
        <v>&gt;</v>
      </c>
      <c r="J9" s="2" t="s">
        <v>10</v>
      </c>
      <c r="L9" s="2">
        <f t="shared" si="9"/>
        <v>5</v>
      </c>
      <c r="M9" s="2">
        <f t="shared" si="10"/>
        <v>4.05</v>
      </c>
      <c r="N9" s="2">
        <f t="shared" si="11"/>
        <v>3.2805</v>
      </c>
      <c r="O9" s="2">
        <f t="shared" si="12"/>
        <v>0</v>
      </c>
      <c r="P9" s="2">
        <f t="shared" si="13"/>
        <v>3.2805</v>
      </c>
      <c r="Q9" s="2">
        <f t="shared" si="14"/>
        <v>4.05</v>
      </c>
      <c r="R9" s="2">
        <f t="shared" si="15"/>
        <v>5</v>
      </c>
      <c r="T9" s="2">
        <f t="shared" si="16"/>
        <v>5</v>
      </c>
      <c r="U9" s="2">
        <f t="shared" si="17"/>
        <v>4.05</v>
      </c>
      <c r="V9" s="2">
        <f t="shared" si="18"/>
        <v>3.2805</v>
      </c>
      <c r="W9" s="2">
        <f t="shared" si="19"/>
        <v>0</v>
      </c>
      <c r="X9" s="2">
        <f t="shared" si="20"/>
        <v>0.36449999999999994</v>
      </c>
      <c r="Y9" s="2">
        <f t="shared" si="21"/>
        <v>0.4499999999999999</v>
      </c>
      <c r="Z9" s="2">
        <v>0</v>
      </c>
      <c r="AB9" s="2">
        <v>0</v>
      </c>
      <c r="AC9" s="2">
        <f t="shared" si="22"/>
        <v>0.4499999999999999</v>
      </c>
      <c r="AD9" s="2">
        <f t="shared" si="23"/>
        <v>0.36449999999999994</v>
      </c>
      <c r="AE9" s="2">
        <f t="shared" si="24"/>
        <v>0</v>
      </c>
      <c r="AF9" s="2">
        <f t="shared" si="25"/>
        <v>3.2805</v>
      </c>
      <c r="AG9" s="2">
        <f t="shared" si="26"/>
        <v>4.05</v>
      </c>
      <c r="AH9" s="2">
        <f t="shared" si="27"/>
        <v>5</v>
      </c>
      <c r="AJ9" s="3" cm="1">
        <f t="array" ref="AJ9">MAX(L9:R9-L8:R8)</f>
        <v>3.2805</v>
      </c>
    </row>
    <row r="10" spans="1:36" x14ac:dyDescent="0.15">
      <c r="C10">
        <v>4</v>
      </c>
      <c r="D10" s="2" t="s">
        <v>10</v>
      </c>
      <c r="E10" s="2" t="str">
        <f t="shared" si="4"/>
        <v>&lt;</v>
      </c>
      <c r="F10" s="2" t="str">
        <f t="shared" si="5"/>
        <v>&lt;</v>
      </c>
      <c r="G10" s="2" t="str">
        <f t="shared" si="6"/>
        <v>?</v>
      </c>
      <c r="H10" s="2" t="str">
        <f t="shared" si="7"/>
        <v>&gt;</v>
      </c>
      <c r="I10" s="2" t="str">
        <f t="shared" si="8"/>
        <v>&gt;</v>
      </c>
      <c r="J10" s="2" t="s">
        <v>10</v>
      </c>
      <c r="L10" s="2">
        <f t="shared" si="9"/>
        <v>5</v>
      </c>
      <c r="M10" s="2">
        <f t="shared" si="10"/>
        <v>4.3452450000000002</v>
      </c>
      <c r="N10" s="2">
        <f t="shared" si="11"/>
        <v>3.2805</v>
      </c>
      <c r="O10" s="2">
        <f t="shared" si="12"/>
        <v>2.9524500000000002</v>
      </c>
      <c r="P10" s="2">
        <f t="shared" si="13"/>
        <v>3.2805</v>
      </c>
      <c r="Q10" s="2">
        <f t="shared" si="14"/>
        <v>4.3452450000000002</v>
      </c>
      <c r="R10" s="2">
        <f t="shared" si="15"/>
        <v>5</v>
      </c>
      <c r="T10" s="2">
        <f t="shared" si="16"/>
        <v>5</v>
      </c>
      <c r="U10" s="2">
        <f t="shared" si="17"/>
        <v>4.3452450000000002</v>
      </c>
      <c r="V10" s="2">
        <f t="shared" si="18"/>
        <v>3.2805</v>
      </c>
      <c r="W10" s="2">
        <f t="shared" si="19"/>
        <v>2.9524500000000002</v>
      </c>
      <c r="X10" s="2">
        <f t="shared" si="20"/>
        <v>0.36449999999999994</v>
      </c>
      <c r="Y10" s="2">
        <f t="shared" si="21"/>
        <v>3.1072050000000004</v>
      </c>
      <c r="Z10" s="2">
        <v>0</v>
      </c>
      <c r="AB10" s="2">
        <v>0</v>
      </c>
      <c r="AC10" s="2">
        <f t="shared" si="22"/>
        <v>3.1072050000000004</v>
      </c>
      <c r="AD10" s="2">
        <f t="shared" si="23"/>
        <v>0.36449999999999994</v>
      </c>
      <c r="AE10" s="2">
        <f t="shared" si="24"/>
        <v>2.9524500000000002</v>
      </c>
      <c r="AF10" s="2">
        <f t="shared" si="25"/>
        <v>3.2805</v>
      </c>
      <c r="AG10" s="2">
        <f t="shared" si="26"/>
        <v>4.3452450000000002</v>
      </c>
      <c r="AH10" s="2">
        <f t="shared" si="27"/>
        <v>5</v>
      </c>
      <c r="AJ10" s="3" cm="1">
        <f t="array" ref="AJ10">MAX(L10:R10-L9:R9)</f>
        <v>2.9524500000000002</v>
      </c>
    </row>
    <row r="11" spans="1:36" x14ac:dyDescent="0.15">
      <c r="C11">
        <v>5</v>
      </c>
      <c r="D11" s="2" t="s">
        <v>10</v>
      </c>
      <c r="E11" s="2" t="str">
        <f t="shared" si="4"/>
        <v>&lt;</v>
      </c>
      <c r="F11" s="2" t="str">
        <f t="shared" si="5"/>
        <v>&lt;</v>
      </c>
      <c r="G11" s="2" t="str">
        <f t="shared" si="6"/>
        <v>?</v>
      </c>
      <c r="H11" s="2" t="str">
        <f t="shared" si="7"/>
        <v>&gt;</v>
      </c>
      <c r="I11" s="2" t="str">
        <f t="shared" si="8"/>
        <v>&gt;</v>
      </c>
      <c r="J11" s="2" t="s">
        <v>10</v>
      </c>
      <c r="L11" s="2">
        <f t="shared" si="9"/>
        <v>5</v>
      </c>
      <c r="M11" s="2">
        <f t="shared" si="10"/>
        <v>4.3452450000000002</v>
      </c>
      <c r="N11" s="2">
        <f t="shared" si="11"/>
        <v>3.7853689500000005</v>
      </c>
      <c r="O11" s="2">
        <f t="shared" si="12"/>
        <v>2.9524500000000002</v>
      </c>
      <c r="P11" s="2">
        <f t="shared" si="13"/>
        <v>3.7853689500000005</v>
      </c>
      <c r="Q11" s="2">
        <f t="shared" si="14"/>
        <v>4.3452450000000002</v>
      </c>
      <c r="R11" s="2">
        <f t="shared" si="15"/>
        <v>5</v>
      </c>
      <c r="T11" s="2">
        <f t="shared" si="16"/>
        <v>5</v>
      </c>
      <c r="U11" s="2">
        <f t="shared" si="17"/>
        <v>4.3452450000000002</v>
      </c>
      <c r="V11" s="2">
        <f t="shared" si="18"/>
        <v>3.7853689500000005</v>
      </c>
      <c r="W11" s="2">
        <f t="shared" si="19"/>
        <v>2.9524500000000002</v>
      </c>
      <c r="X11" s="2">
        <f t="shared" si="20"/>
        <v>2.7825565500000002</v>
      </c>
      <c r="Y11" s="2">
        <f t="shared" si="21"/>
        <v>3.1072050000000004</v>
      </c>
      <c r="Z11" s="2">
        <v>0</v>
      </c>
      <c r="AB11" s="2">
        <v>0</v>
      </c>
      <c r="AC11" s="2">
        <f t="shared" si="22"/>
        <v>3.1072050000000004</v>
      </c>
      <c r="AD11" s="2">
        <f t="shared" si="23"/>
        <v>2.7825565500000002</v>
      </c>
      <c r="AE11" s="2">
        <f t="shared" si="24"/>
        <v>2.9524500000000002</v>
      </c>
      <c r="AF11" s="2">
        <f t="shared" si="25"/>
        <v>3.7853689500000005</v>
      </c>
      <c r="AG11" s="2">
        <f t="shared" si="26"/>
        <v>4.3452450000000002</v>
      </c>
      <c r="AH11" s="2">
        <f t="shared" si="27"/>
        <v>5</v>
      </c>
      <c r="AJ11" s="3" cm="1">
        <f t="array" ref="AJ11">MAX(L11:R11-L10:R10)</f>
        <v>0.50486895000000054</v>
      </c>
    </row>
    <row r="12" spans="1:36" x14ac:dyDescent="0.15">
      <c r="C12">
        <v>6</v>
      </c>
      <c r="D12" s="2" t="s">
        <v>10</v>
      </c>
      <c r="E12" s="2" t="str">
        <f t="shared" si="4"/>
        <v>&lt;</v>
      </c>
      <c r="F12" s="2" t="str">
        <f t="shared" si="5"/>
        <v>&lt;</v>
      </c>
      <c r="G12" s="2" t="str">
        <f t="shared" si="6"/>
        <v>?</v>
      </c>
      <c r="H12" s="2" t="str">
        <f t="shared" si="7"/>
        <v>&gt;</v>
      </c>
      <c r="I12" s="2" t="str">
        <f t="shared" si="8"/>
        <v>&gt;</v>
      </c>
      <c r="J12" s="2" t="s">
        <v>10</v>
      </c>
      <c r="L12" s="2">
        <f t="shared" si="9"/>
        <v>5</v>
      </c>
      <c r="M12" s="2">
        <f t="shared" si="10"/>
        <v>4.3906832055000002</v>
      </c>
      <c r="N12" s="2">
        <f t="shared" si="11"/>
        <v>3.7853689500000005</v>
      </c>
      <c r="O12" s="2">
        <f t="shared" si="12"/>
        <v>3.4068320550000006</v>
      </c>
      <c r="P12" s="2">
        <f t="shared" si="13"/>
        <v>3.7853689500000005</v>
      </c>
      <c r="Q12" s="2">
        <f t="shared" si="14"/>
        <v>4.3906832055000002</v>
      </c>
      <c r="R12" s="2">
        <f t="shared" si="15"/>
        <v>5</v>
      </c>
      <c r="T12" s="2">
        <f t="shared" si="16"/>
        <v>5</v>
      </c>
      <c r="U12" s="2">
        <f t="shared" si="17"/>
        <v>4.3906832055000002</v>
      </c>
      <c r="V12" s="2">
        <f t="shared" si="18"/>
        <v>3.7853689500000005</v>
      </c>
      <c r="W12" s="2">
        <f t="shared" si="19"/>
        <v>3.4068320550000006</v>
      </c>
      <c r="X12" s="2">
        <f t="shared" si="20"/>
        <v>2.7825565500000002</v>
      </c>
      <c r="Y12" s="2">
        <f t="shared" si="21"/>
        <v>3.5161488495000008</v>
      </c>
      <c r="Z12" s="2">
        <v>0</v>
      </c>
      <c r="AB12" s="2">
        <v>0</v>
      </c>
      <c r="AC12" s="2">
        <f t="shared" si="22"/>
        <v>3.5161488495000008</v>
      </c>
      <c r="AD12" s="2">
        <f t="shared" si="23"/>
        <v>2.7825565500000002</v>
      </c>
      <c r="AE12" s="2">
        <f t="shared" si="24"/>
        <v>3.4068320550000006</v>
      </c>
      <c r="AF12" s="2">
        <f t="shared" si="25"/>
        <v>3.7853689500000005</v>
      </c>
      <c r="AG12" s="2">
        <f t="shared" si="26"/>
        <v>4.3906832055000002</v>
      </c>
      <c r="AH12" s="2">
        <f t="shared" si="27"/>
        <v>5</v>
      </c>
      <c r="AJ12" s="3" cm="1">
        <f t="array" ref="AJ12">MAX(L12:R12-L11:R11)</f>
        <v>0.4543820550000004</v>
      </c>
    </row>
    <row r="13" spans="1:36" x14ac:dyDescent="0.15">
      <c r="C13">
        <v>7</v>
      </c>
      <c r="D13" s="2" t="s">
        <v>10</v>
      </c>
      <c r="E13" s="2" t="str">
        <f t="shared" si="4"/>
        <v>&lt;</v>
      </c>
      <c r="F13" s="2" t="str">
        <f t="shared" si="5"/>
        <v>&lt;</v>
      </c>
      <c r="G13" s="2" t="str">
        <f t="shared" si="6"/>
        <v>?</v>
      </c>
      <c r="H13" s="2" t="str">
        <f t="shared" si="7"/>
        <v>&gt;</v>
      </c>
      <c r="I13" s="2" t="str">
        <f t="shared" si="8"/>
        <v>&gt;</v>
      </c>
      <c r="J13" s="2" t="s">
        <v>10</v>
      </c>
      <c r="L13" s="2">
        <f t="shared" si="9"/>
        <v>5</v>
      </c>
      <c r="M13" s="2">
        <f t="shared" si="10"/>
        <v>4.3906832055000002</v>
      </c>
      <c r="N13" s="2">
        <f t="shared" si="11"/>
        <v>3.8630682814050004</v>
      </c>
      <c r="O13" s="2">
        <f t="shared" si="12"/>
        <v>3.4068320550000006</v>
      </c>
      <c r="P13" s="2">
        <f t="shared" si="13"/>
        <v>3.8630682814050004</v>
      </c>
      <c r="Q13" s="2">
        <f t="shared" si="14"/>
        <v>4.3906832055000002</v>
      </c>
      <c r="R13" s="2">
        <f t="shared" si="15"/>
        <v>5</v>
      </c>
      <c r="T13" s="2">
        <f t="shared" si="16"/>
        <v>5</v>
      </c>
      <c r="U13" s="2">
        <f t="shared" si="17"/>
        <v>4.3906832055000002</v>
      </c>
      <c r="V13" s="2">
        <f t="shared" si="18"/>
        <v>3.8630682814050004</v>
      </c>
      <c r="W13" s="2">
        <f t="shared" si="19"/>
        <v>3.4068320550000006</v>
      </c>
      <c r="X13" s="2">
        <f t="shared" si="20"/>
        <v>3.1546954530450009</v>
      </c>
      <c r="Y13" s="2">
        <f t="shared" si="21"/>
        <v>3.5161488495000008</v>
      </c>
      <c r="Z13" s="2">
        <v>0</v>
      </c>
      <c r="AB13" s="2">
        <v>0</v>
      </c>
      <c r="AC13" s="2">
        <f t="shared" si="22"/>
        <v>3.5161488495000008</v>
      </c>
      <c r="AD13" s="2">
        <f t="shared" si="23"/>
        <v>3.1546954530450009</v>
      </c>
      <c r="AE13" s="2">
        <f t="shared" si="24"/>
        <v>3.4068320550000006</v>
      </c>
      <c r="AF13" s="2">
        <f t="shared" si="25"/>
        <v>3.8630682814050004</v>
      </c>
      <c r="AG13" s="2">
        <f t="shared" si="26"/>
        <v>4.3906832055000002</v>
      </c>
      <c r="AH13" s="2">
        <f t="shared" si="27"/>
        <v>5</v>
      </c>
      <c r="AJ13" s="3" cm="1">
        <f t="array" ref="AJ13">MAX(L13:R13-L12:R12)</f>
        <v>7.769933140499985E-2</v>
      </c>
    </row>
    <row r="14" spans="1:36" x14ac:dyDescent="0.15">
      <c r="C14">
        <v>8</v>
      </c>
      <c r="D14" s="2" t="s">
        <v>10</v>
      </c>
      <c r="E14" s="2" t="str">
        <f t="shared" si="4"/>
        <v>&lt;</v>
      </c>
      <c r="F14" s="2" t="str">
        <f t="shared" si="5"/>
        <v>&lt;</v>
      </c>
      <c r="G14" s="2" t="str">
        <f t="shared" si="6"/>
        <v>?</v>
      </c>
      <c r="H14" s="2" t="str">
        <f t="shared" si="7"/>
        <v>&gt;</v>
      </c>
      <c r="I14" s="2" t="str">
        <f t="shared" si="8"/>
        <v>&gt;</v>
      </c>
      <c r="J14" s="2" t="s">
        <v>10</v>
      </c>
      <c r="L14" s="2">
        <f t="shared" si="9"/>
        <v>5</v>
      </c>
      <c r="M14" s="2">
        <f t="shared" si="10"/>
        <v>4.3976761453264501</v>
      </c>
      <c r="N14" s="2">
        <f t="shared" si="11"/>
        <v>3.8630682814050004</v>
      </c>
      <c r="O14" s="2">
        <f t="shared" si="12"/>
        <v>3.4767614532645004</v>
      </c>
      <c r="P14" s="2">
        <f t="shared" si="13"/>
        <v>3.8630682814050004</v>
      </c>
      <c r="Q14" s="2">
        <f t="shared" si="14"/>
        <v>4.3976761453264501</v>
      </c>
      <c r="R14" s="2">
        <f t="shared" si="15"/>
        <v>5</v>
      </c>
      <c r="T14" s="2">
        <f t="shared" si="16"/>
        <v>5</v>
      </c>
      <c r="U14" s="2">
        <f t="shared" si="17"/>
        <v>4.3976761453264501</v>
      </c>
      <c r="V14" s="2">
        <f t="shared" si="18"/>
        <v>3.8630682814050004</v>
      </c>
      <c r="W14" s="2">
        <f t="shared" si="19"/>
        <v>3.4767614532645004</v>
      </c>
      <c r="X14" s="2">
        <f t="shared" si="20"/>
        <v>3.1546954530450009</v>
      </c>
      <c r="Y14" s="2">
        <f t="shared" si="21"/>
        <v>3.5790853079380502</v>
      </c>
      <c r="Z14" s="2">
        <v>0</v>
      </c>
      <c r="AB14" s="2">
        <v>0</v>
      </c>
      <c r="AC14" s="2">
        <f t="shared" si="22"/>
        <v>3.5790853079380502</v>
      </c>
      <c r="AD14" s="2">
        <f t="shared" si="23"/>
        <v>3.1546954530450009</v>
      </c>
      <c r="AE14" s="2">
        <f t="shared" si="24"/>
        <v>3.4767614532645004</v>
      </c>
      <c r="AF14" s="2">
        <f t="shared" si="25"/>
        <v>3.8630682814050004</v>
      </c>
      <c r="AG14" s="2">
        <f t="shared" si="26"/>
        <v>4.3976761453264501</v>
      </c>
      <c r="AH14" s="2">
        <f t="shared" si="27"/>
        <v>5</v>
      </c>
      <c r="AJ14" s="3" cm="1">
        <f t="array" ref="AJ14">MAX(L14:R14-L13:R13)</f>
        <v>6.9929398264499731E-2</v>
      </c>
    </row>
    <row r="15" spans="1:36" x14ac:dyDescent="0.15">
      <c r="C15">
        <v>9</v>
      </c>
      <c r="D15" s="2" t="s">
        <v>10</v>
      </c>
      <c r="E15" s="2" t="str">
        <f t="shared" si="4"/>
        <v>&lt;</v>
      </c>
      <c r="F15" s="2" t="str">
        <f t="shared" si="5"/>
        <v>&lt;</v>
      </c>
      <c r="G15" s="2" t="str">
        <f t="shared" si="6"/>
        <v>?</v>
      </c>
      <c r="H15" s="2" t="str">
        <f t="shared" si="7"/>
        <v>&gt;</v>
      </c>
      <c r="I15" s="2" t="str">
        <f t="shared" si="8"/>
        <v>&gt;</v>
      </c>
      <c r="J15" s="2" t="s">
        <v>10</v>
      </c>
      <c r="L15" s="2">
        <f t="shared" si="9"/>
        <v>5</v>
      </c>
      <c r="M15" s="2">
        <f t="shared" si="10"/>
        <v>4.3976761453264501</v>
      </c>
      <c r="N15" s="2">
        <f t="shared" si="11"/>
        <v>3.8750262085082299</v>
      </c>
      <c r="O15" s="2">
        <f t="shared" si="12"/>
        <v>3.4767614532645004</v>
      </c>
      <c r="P15" s="2">
        <f t="shared" si="13"/>
        <v>3.8750262085082299</v>
      </c>
      <c r="Q15" s="2">
        <f t="shared" si="14"/>
        <v>4.3976761453264501</v>
      </c>
      <c r="R15" s="2">
        <f t="shared" si="15"/>
        <v>5</v>
      </c>
      <c r="T15" s="2">
        <f t="shared" si="16"/>
        <v>5</v>
      </c>
      <c r="U15" s="2">
        <f t="shared" si="17"/>
        <v>4.3976761453264501</v>
      </c>
      <c r="V15" s="2">
        <f t="shared" si="18"/>
        <v>3.8750262085082299</v>
      </c>
      <c r="W15" s="2">
        <f t="shared" si="19"/>
        <v>3.4767614532645004</v>
      </c>
      <c r="X15" s="2">
        <f t="shared" si="20"/>
        <v>3.2119676302236262</v>
      </c>
      <c r="Y15" s="2">
        <f t="shared" si="21"/>
        <v>3.5790853079380502</v>
      </c>
      <c r="Z15" s="2">
        <v>0</v>
      </c>
      <c r="AB15" s="2">
        <v>0</v>
      </c>
      <c r="AC15" s="2">
        <f t="shared" si="22"/>
        <v>3.5790853079380502</v>
      </c>
      <c r="AD15" s="2">
        <f t="shared" si="23"/>
        <v>3.2119676302236262</v>
      </c>
      <c r="AE15" s="2">
        <f t="shared" si="24"/>
        <v>3.4767614532645004</v>
      </c>
      <c r="AF15" s="2">
        <f t="shared" si="25"/>
        <v>3.8750262085082299</v>
      </c>
      <c r="AG15" s="2">
        <f t="shared" si="26"/>
        <v>4.3976761453264501</v>
      </c>
      <c r="AH15" s="2">
        <f t="shared" si="27"/>
        <v>5</v>
      </c>
      <c r="AJ15" s="3" cm="1">
        <f t="array" ref="AJ15">MAX(L15:R15-L14:R14)</f>
        <v>1.1957927103229515E-2</v>
      </c>
    </row>
    <row r="16" spans="1:36" x14ac:dyDescent="0.15">
      <c r="C16">
        <v>10</v>
      </c>
      <c r="D16" s="2" t="s">
        <v>10</v>
      </c>
      <c r="E16" s="2" t="str">
        <f t="shared" si="4"/>
        <v>&lt;</v>
      </c>
      <c r="F16" s="2" t="str">
        <f t="shared" si="5"/>
        <v>&lt;</v>
      </c>
      <c r="G16" s="2" t="str">
        <f t="shared" si="6"/>
        <v>?</v>
      </c>
      <c r="H16" s="2" t="str">
        <f t="shared" si="7"/>
        <v>&gt;</v>
      </c>
      <c r="I16" s="2" t="str">
        <f t="shared" si="8"/>
        <v>&gt;</v>
      </c>
      <c r="J16" s="2" t="s">
        <v>10</v>
      </c>
      <c r="L16" s="2">
        <f t="shared" si="9"/>
        <v>5</v>
      </c>
      <c r="M16" s="2">
        <f t="shared" si="10"/>
        <v>4.3987523587657407</v>
      </c>
      <c r="N16" s="2">
        <f t="shared" si="11"/>
        <v>3.8750262085082299</v>
      </c>
      <c r="O16" s="2">
        <f t="shared" si="12"/>
        <v>3.4875235876574071</v>
      </c>
      <c r="P16" s="2">
        <f t="shared" si="13"/>
        <v>3.8750262085082299</v>
      </c>
      <c r="Q16" s="2">
        <f t="shared" si="14"/>
        <v>4.3987523587657407</v>
      </c>
      <c r="R16" s="2">
        <f t="shared" si="15"/>
        <v>5</v>
      </c>
      <c r="T16" s="2">
        <f t="shared" si="16"/>
        <v>5</v>
      </c>
      <c r="U16" s="2">
        <f t="shared" si="17"/>
        <v>4.3987523587657407</v>
      </c>
      <c r="V16" s="2">
        <f t="shared" si="18"/>
        <v>3.8750262085082299</v>
      </c>
      <c r="W16" s="2">
        <f t="shared" si="19"/>
        <v>3.4875235876574071</v>
      </c>
      <c r="X16" s="2">
        <f t="shared" si="20"/>
        <v>3.2119676302236262</v>
      </c>
      <c r="Y16" s="2">
        <f t="shared" si="21"/>
        <v>3.5887712288916664</v>
      </c>
      <c r="Z16" s="2">
        <v>0</v>
      </c>
      <c r="AB16" s="2">
        <v>0</v>
      </c>
      <c r="AC16" s="2">
        <f t="shared" si="22"/>
        <v>3.5887712288916664</v>
      </c>
      <c r="AD16" s="2">
        <f t="shared" si="23"/>
        <v>3.2119676302236262</v>
      </c>
      <c r="AE16" s="2">
        <f t="shared" si="24"/>
        <v>3.4875235876574071</v>
      </c>
      <c r="AF16" s="2">
        <f t="shared" si="25"/>
        <v>3.8750262085082299</v>
      </c>
      <c r="AG16" s="2">
        <f t="shared" si="26"/>
        <v>4.3987523587657407</v>
      </c>
      <c r="AH16" s="2">
        <f t="shared" si="27"/>
        <v>5</v>
      </c>
      <c r="AJ16" s="3" cm="1">
        <f t="array" ref="AJ16">MAX(L16:R16-L15:R15)</f>
        <v>1.0762134392906741E-2</v>
      </c>
    </row>
    <row r="19" spans="1:2" x14ac:dyDescent="0.15">
      <c r="A19" s="5" t="s">
        <v>12</v>
      </c>
    </row>
    <row r="20" spans="1:2" x14ac:dyDescent="0.15">
      <c r="A20" s="5" t="s">
        <v>13</v>
      </c>
      <c r="B20" s="5" t="s">
        <v>14</v>
      </c>
    </row>
    <row r="21" spans="1:2" x14ac:dyDescent="0.15">
      <c r="A21" s="5" t="s">
        <v>15</v>
      </c>
      <c r="B21" s="5" t="s">
        <v>16</v>
      </c>
    </row>
    <row r="22" spans="1:2" x14ac:dyDescent="0.15">
      <c r="A22" s="5" t="s">
        <v>17</v>
      </c>
      <c r="B22" s="5" t="s">
        <v>18</v>
      </c>
    </row>
    <row r="23" spans="1:2" x14ac:dyDescent="0.15">
      <c r="A23" s="5" t="s">
        <v>19</v>
      </c>
      <c r="B23" s="5" t="s">
        <v>20</v>
      </c>
    </row>
    <row r="24" spans="1:2" x14ac:dyDescent="0.15">
      <c r="A24" s="5" t="s">
        <v>11</v>
      </c>
      <c r="B24" s="5" t="s">
        <v>21</v>
      </c>
    </row>
  </sheetData>
  <mergeCells count="4">
    <mergeCell ref="D4:J4"/>
    <mergeCell ref="L4:R4"/>
    <mergeCell ref="T4:Z4"/>
    <mergeCell ref="AB4:AH4"/>
  </mergeCells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853D-862B-D740-AAC8-867F3CCCEB01}">
  <dimension ref="A1:AJ24"/>
  <sheetViews>
    <sheetView tabSelected="1" zoomScale="150" workbookViewId="0">
      <selection activeCell="O18" sqref="O18"/>
    </sheetView>
  </sheetViews>
  <sheetFormatPr baseColWidth="10" defaultRowHeight="13" x14ac:dyDescent="0.15"/>
  <cols>
    <col min="1" max="1" width="12" bestFit="1" customWidth="1"/>
    <col min="2" max="2" width="5" bestFit="1" customWidth="1"/>
    <col min="3" max="3" width="3.33203125" bestFit="1" customWidth="1"/>
    <col min="4" max="10" width="2.1640625" bestFit="1" customWidth="1"/>
    <col min="11" max="11" width="3.5" customWidth="1"/>
    <col min="12" max="17" width="5" bestFit="1" customWidth="1"/>
    <col min="18" max="18" width="7.1640625" bestFit="1" customWidth="1"/>
    <col min="19" max="19" width="3.5" customWidth="1"/>
    <col min="20" max="26" width="5" bestFit="1" customWidth="1"/>
    <col min="27" max="27" width="3.5" customWidth="1"/>
    <col min="28" max="34" width="5" bestFit="1" customWidth="1"/>
    <col min="36" max="36" width="12.33203125" customWidth="1"/>
  </cols>
  <sheetData>
    <row r="1" spans="1:36" x14ac:dyDescent="0.15">
      <c r="A1" t="s">
        <v>9</v>
      </c>
      <c r="B1" s="3">
        <v>0.01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B1">
        <v>1</v>
      </c>
      <c r="AC1">
        <v>2</v>
      </c>
      <c r="AD1">
        <v>3</v>
      </c>
      <c r="AE1">
        <v>4</v>
      </c>
      <c r="AF1">
        <v>5</v>
      </c>
      <c r="AG1">
        <v>6</v>
      </c>
      <c r="AH1">
        <v>7</v>
      </c>
    </row>
    <row r="2" spans="1:36" x14ac:dyDescent="0.15">
      <c r="A2" t="s">
        <v>0</v>
      </c>
      <c r="B2" s="3">
        <v>0.9</v>
      </c>
      <c r="R2" t="s">
        <v>6</v>
      </c>
      <c r="T2" s="2">
        <v>5</v>
      </c>
      <c r="U2" s="7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5</v>
      </c>
    </row>
    <row r="3" spans="1:36" x14ac:dyDescent="0.15">
      <c r="A3" t="s">
        <v>1</v>
      </c>
      <c r="B3" s="3">
        <v>0.9</v>
      </c>
    </row>
    <row r="4" spans="1:36" x14ac:dyDescent="0.15">
      <c r="A4" t="s">
        <v>2</v>
      </c>
      <c r="B4" s="3">
        <f>1-B3</f>
        <v>9.9999999999999978E-2</v>
      </c>
      <c r="D4" s="4" t="s">
        <v>4</v>
      </c>
      <c r="E4" s="4"/>
      <c r="F4" s="4"/>
      <c r="G4" s="4"/>
      <c r="H4" s="4"/>
      <c r="I4" s="4"/>
      <c r="J4" s="4"/>
      <c r="L4" s="4" t="s">
        <v>5</v>
      </c>
      <c r="M4" s="4"/>
      <c r="N4" s="4"/>
      <c r="O4" s="4"/>
      <c r="P4" s="4"/>
      <c r="Q4" s="4"/>
      <c r="R4" s="4"/>
      <c r="T4" s="4" t="s">
        <v>7</v>
      </c>
      <c r="U4" s="4"/>
      <c r="V4" s="4"/>
      <c r="W4" s="4"/>
      <c r="X4" s="4"/>
      <c r="Y4" s="4"/>
      <c r="Z4" s="4"/>
      <c r="AB4" s="4" t="s">
        <v>8</v>
      </c>
      <c r="AC4" s="4"/>
      <c r="AD4" s="4"/>
      <c r="AE4" s="4"/>
      <c r="AF4" s="4"/>
      <c r="AG4" s="4"/>
      <c r="AH4" s="4"/>
    </row>
    <row r="5" spans="1:36" x14ac:dyDescent="0.15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T5">
        <v>1</v>
      </c>
      <c r="U5">
        <v>2</v>
      </c>
      <c r="V5">
        <v>3</v>
      </c>
      <c r="W5">
        <v>4</v>
      </c>
      <c r="X5">
        <v>5</v>
      </c>
      <c r="Y5">
        <v>6</v>
      </c>
      <c r="Z5">
        <v>7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</row>
    <row r="6" spans="1:36" x14ac:dyDescent="0.15">
      <c r="B6" t="s">
        <v>3</v>
      </c>
      <c r="C6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AJ6" s="5" t="s">
        <v>11</v>
      </c>
    </row>
    <row r="7" spans="1:36" x14ac:dyDescent="0.15">
      <c r="C7">
        <v>1</v>
      </c>
      <c r="D7" s="2" t="s">
        <v>10</v>
      </c>
      <c r="E7" s="2" t="str">
        <f>IF(U7 = AC7,"?", IF(U7 &gt; AC7, "&lt;", "&gt;"))</f>
        <v>&lt;</v>
      </c>
      <c r="F7" s="2" t="str">
        <f t="shared" ref="F7:I16" si="0">IF(V7 = AD7,"?", IF(V7 &gt; AD7, "&lt;", "&gt;"))</f>
        <v>?</v>
      </c>
      <c r="G7" s="2" t="str">
        <f t="shared" si="0"/>
        <v>?</v>
      </c>
      <c r="H7" s="2" t="str">
        <f t="shared" si="0"/>
        <v>?</v>
      </c>
      <c r="I7" s="2" t="str">
        <f t="shared" si="0"/>
        <v>?</v>
      </c>
      <c r="J7" s="2" t="s">
        <v>10</v>
      </c>
      <c r="L7" s="2">
        <f>MAX(T7,AB7)</f>
        <v>5</v>
      </c>
      <c r="M7" s="2">
        <f t="shared" ref="M7:R16" si="1">MAX(U7,AC7)</f>
        <v>1</v>
      </c>
      <c r="N7" s="2">
        <f t="shared" si="1"/>
        <v>0</v>
      </c>
      <c r="O7" s="2">
        <f t="shared" si="1"/>
        <v>0</v>
      </c>
      <c r="P7" s="2">
        <f t="shared" si="1"/>
        <v>0</v>
      </c>
      <c r="Q7" s="2">
        <f t="shared" si="1"/>
        <v>0</v>
      </c>
      <c r="R7" s="2">
        <f t="shared" si="1"/>
        <v>5</v>
      </c>
      <c r="T7" s="2">
        <f>$T$2</f>
        <v>5</v>
      </c>
      <c r="U7" s="2">
        <f>U$2+$B$2*(L6*$B$3 + N6*$B$4)</f>
        <v>1</v>
      </c>
      <c r="V7" s="2">
        <f t="shared" ref="V7:Y16" si="2">V$2+$B$2*(M6*$B$3 + O6*$B$4)</f>
        <v>0</v>
      </c>
      <c r="W7" s="2">
        <f t="shared" si="2"/>
        <v>0</v>
      </c>
      <c r="X7" s="2">
        <f t="shared" si="2"/>
        <v>0</v>
      </c>
      <c r="Y7" s="2">
        <f t="shared" si="2"/>
        <v>0</v>
      </c>
      <c r="Z7" s="2">
        <v>0</v>
      </c>
      <c r="AB7" s="2">
        <v>0</v>
      </c>
      <c r="AC7" s="2">
        <f>AC$2+$B$2*(N6*$B$3 + L6*$B$4)</f>
        <v>0</v>
      </c>
      <c r="AD7" s="2">
        <f t="shared" ref="AD7:AG16" si="3">AD$2+$B$2*(O6*$B$3 + M6*$B$4)</f>
        <v>0</v>
      </c>
      <c r="AE7" s="2">
        <f t="shared" si="3"/>
        <v>0</v>
      </c>
      <c r="AF7" s="2">
        <f t="shared" si="3"/>
        <v>0</v>
      </c>
      <c r="AG7" s="2">
        <f t="shared" si="3"/>
        <v>0</v>
      </c>
      <c r="AH7" s="2">
        <f>$AH$2</f>
        <v>5</v>
      </c>
      <c r="AJ7" s="3" cm="1">
        <f t="array" ref="AJ7">MAX(L7:R7-L6:R6)</f>
        <v>5</v>
      </c>
    </row>
    <row r="8" spans="1:36" x14ac:dyDescent="0.15">
      <c r="C8">
        <v>2</v>
      </c>
      <c r="D8" s="2" t="s">
        <v>10</v>
      </c>
      <c r="E8" s="2" t="str">
        <f t="shared" ref="E8:E16" si="4">IF(U8 = AC8,"?", IF(U8 &gt; AC8, "&lt;", "&gt;"))</f>
        <v>&lt;</v>
      </c>
      <c r="F8" s="2" t="str">
        <f t="shared" si="0"/>
        <v>&lt;</v>
      </c>
      <c r="G8" s="2" t="str">
        <f t="shared" si="0"/>
        <v>?</v>
      </c>
      <c r="H8" s="2" t="str">
        <f t="shared" si="0"/>
        <v>?</v>
      </c>
      <c r="I8" s="2" t="str">
        <f t="shared" si="0"/>
        <v>&gt;</v>
      </c>
      <c r="J8" s="2" t="s">
        <v>10</v>
      </c>
      <c r="L8" s="2">
        <f t="shared" ref="L8:L16" si="5">MAX(T8,AB8)</f>
        <v>5</v>
      </c>
      <c r="M8" s="2">
        <f t="shared" si="1"/>
        <v>5.05</v>
      </c>
      <c r="N8" s="2">
        <f t="shared" si="1"/>
        <v>0.81</v>
      </c>
      <c r="O8" s="2">
        <f t="shared" si="1"/>
        <v>0</v>
      </c>
      <c r="P8" s="2">
        <f t="shared" si="1"/>
        <v>0</v>
      </c>
      <c r="Q8" s="2">
        <f t="shared" si="1"/>
        <v>4.05</v>
      </c>
      <c r="R8" s="2">
        <f t="shared" si="1"/>
        <v>5</v>
      </c>
      <c r="T8" s="2">
        <f t="shared" ref="T8:T16" si="6">$T$2</f>
        <v>5</v>
      </c>
      <c r="U8" s="2">
        <f t="shared" ref="U8:U16" si="7">U$2+$B$2*(L7*$B$3 + N7*$B$4)</f>
        <v>5.05</v>
      </c>
      <c r="V8" s="2">
        <f t="shared" si="2"/>
        <v>0.81</v>
      </c>
      <c r="W8" s="2">
        <f t="shared" si="2"/>
        <v>0</v>
      </c>
      <c r="X8" s="2">
        <f t="shared" si="2"/>
        <v>0</v>
      </c>
      <c r="Y8" s="2">
        <f t="shared" si="2"/>
        <v>0.4499999999999999</v>
      </c>
      <c r="Z8" s="2">
        <v>0</v>
      </c>
      <c r="AB8" s="2">
        <v>0</v>
      </c>
      <c r="AC8" s="2">
        <f t="shared" ref="AC8:AC16" si="8">AC$2+$B$2*(N7*$B$3 + L7*$B$4)</f>
        <v>0.4499999999999999</v>
      </c>
      <c r="AD8" s="2">
        <f t="shared" si="3"/>
        <v>8.9999999999999983E-2</v>
      </c>
      <c r="AE8" s="2">
        <f t="shared" si="3"/>
        <v>0</v>
      </c>
      <c r="AF8" s="2">
        <f t="shared" si="3"/>
        <v>0</v>
      </c>
      <c r="AG8" s="2">
        <f t="shared" si="3"/>
        <v>4.05</v>
      </c>
      <c r="AH8" s="2">
        <f t="shared" ref="AH8:AH16" si="9">$AH$2</f>
        <v>5</v>
      </c>
      <c r="AJ8" s="3" cm="1">
        <f t="array" ref="AJ8">MAX(L8:R8-L7:R7)</f>
        <v>4.05</v>
      </c>
    </row>
    <row r="9" spans="1:36" x14ac:dyDescent="0.15">
      <c r="C9">
        <v>3</v>
      </c>
      <c r="D9" s="2" t="s">
        <v>10</v>
      </c>
      <c r="E9" s="2" t="str">
        <f t="shared" si="4"/>
        <v>&lt;</v>
      </c>
      <c r="F9" s="2" t="str">
        <f t="shared" si="0"/>
        <v>&lt;</v>
      </c>
      <c r="G9" s="2" t="str">
        <f t="shared" si="0"/>
        <v>&lt;</v>
      </c>
      <c r="H9" s="2" t="str">
        <f t="shared" si="0"/>
        <v>&gt;</v>
      </c>
      <c r="I9" s="2" t="str">
        <f t="shared" si="0"/>
        <v>&gt;</v>
      </c>
      <c r="J9" s="2" t="s">
        <v>10</v>
      </c>
      <c r="L9" s="2">
        <f t="shared" si="5"/>
        <v>5</v>
      </c>
      <c r="M9" s="2">
        <f t="shared" si="1"/>
        <v>5.1229000000000005</v>
      </c>
      <c r="N9" s="2">
        <f t="shared" si="1"/>
        <v>4.0905000000000005</v>
      </c>
      <c r="O9" s="2">
        <f t="shared" si="1"/>
        <v>0.65610000000000013</v>
      </c>
      <c r="P9" s="2">
        <f t="shared" si="1"/>
        <v>3.2805</v>
      </c>
      <c r="Q9" s="2">
        <f t="shared" si="1"/>
        <v>4.05</v>
      </c>
      <c r="R9" s="2">
        <f t="shared" si="1"/>
        <v>5</v>
      </c>
      <c r="T9" s="2">
        <f t="shared" si="6"/>
        <v>5</v>
      </c>
      <c r="U9" s="2">
        <f t="shared" si="7"/>
        <v>5.1229000000000005</v>
      </c>
      <c r="V9" s="2">
        <f t="shared" si="2"/>
        <v>4.0905000000000005</v>
      </c>
      <c r="W9" s="2">
        <f t="shared" si="2"/>
        <v>0.65610000000000013</v>
      </c>
      <c r="X9" s="2">
        <f t="shared" si="2"/>
        <v>0.36449999999999994</v>
      </c>
      <c r="Y9" s="2">
        <f t="shared" si="2"/>
        <v>0.4499999999999999</v>
      </c>
      <c r="Z9" s="2">
        <v>0</v>
      </c>
      <c r="AB9" s="2">
        <v>0</v>
      </c>
      <c r="AC9" s="2">
        <f t="shared" si="8"/>
        <v>1.1061000000000001</v>
      </c>
      <c r="AD9" s="2">
        <f t="shared" si="3"/>
        <v>0.4544999999999999</v>
      </c>
      <c r="AE9" s="2">
        <f t="shared" si="3"/>
        <v>7.2899999999999993E-2</v>
      </c>
      <c r="AF9" s="2">
        <f t="shared" si="3"/>
        <v>3.2805</v>
      </c>
      <c r="AG9" s="2">
        <f t="shared" si="3"/>
        <v>4.05</v>
      </c>
      <c r="AH9" s="2">
        <f t="shared" si="9"/>
        <v>5</v>
      </c>
      <c r="AJ9" s="3" cm="1">
        <f t="array" ref="AJ9">MAX(L9:R9-L8:R8)</f>
        <v>3.2805000000000004</v>
      </c>
    </row>
    <row r="10" spans="1:36" x14ac:dyDescent="0.15">
      <c r="C10">
        <v>4</v>
      </c>
      <c r="D10" s="2" t="s">
        <v>10</v>
      </c>
      <c r="E10" s="2" t="str">
        <f t="shared" si="4"/>
        <v>&lt;</v>
      </c>
      <c r="F10" s="2" t="str">
        <f t="shared" si="0"/>
        <v>&lt;</v>
      </c>
      <c r="G10" s="2" t="str">
        <f t="shared" si="0"/>
        <v>&lt;</v>
      </c>
      <c r="H10" s="2" t="str">
        <f t="shared" si="0"/>
        <v>&gt;</v>
      </c>
      <c r="I10" s="2" t="str">
        <f t="shared" si="0"/>
        <v>&gt;</v>
      </c>
      <c r="J10" s="2" t="s">
        <v>10</v>
      </c>
      <c r="L10" s="2">
        <f t="shared" si="5"/>
        <v>5</v>
      </c>
      <c r="M10" s="2">
        <f t="shared" si="1"/>
        <v>5.418145</v>
      </c>
      <c r="N10" s="2">
        <f t="shared" si="1"/>
        <v>4.2085980000000012</v>
      </c>
      <c r="O10" s="2">
        <f t="shared" si="1"/>
        <v>3.6085500000000001</v>
      </c>
      <c r="P10" s="2">
        <f t="shared" si="1"/>
        <v>3.3395489999999999</v>
      </c>
      <c r="Q10" s="2">
        <f t="shared" si="1"/>
        <v>4.3452450000000002</v>
      </c>
      <c r="R10" s="2">
        <f t="shared" si="1"/>
        <v>5</v>
      </c>
      <c r="T10" s="2">
        <f t="shared" si="6"/>
        <v>5</v>
      </c>
      <c r="U10" s="2">
        <f t="shared" si="7"/>
        <v>5.418145</v>
      </c>
      <c r="V10" s="2">
        <f t="shared" si="2"/>
        <v>4.2085980000000012</v>
      </c>
      <c r="W10" s="2">
        <f t="shared" si="2"/>
        <v>3.6085500000000001</v>
      </c>
      <c r="X10" s="2">
        <f t="shared" si="2"/>
        <v>0.8959410000000001</v>
      </c>
      <c r="Y10" s="2">
        <f t="shared" si="2"/>
        <v>3.1072050000000004</v>
      </c>
      <c r="Z10" s="2">
        <v>0</v>
      </c>
      <c r="AB10" s="2">
        <v>0</v>
      </c>
      <c r="AC10" s="2">
        <f t="shared" si="8"/>
        <v>3.7633049999999999</v>
      </c>
      <c r="AD10" s="2">
        <f t="shared" si="3"/>
        <v>0.99250200000000011</v>
      </c>
      <c r="AE10" s="2">
        <f t="shared" si="3"/>
        <v>3.0253500000000004</v>
      </c>
      <c r="AF10" s="2">
        <f t="shared" si="3"/>
        <v>3.3395489999999999</v>
      </c>
      <c r="AG10" s="2">
        <f t="shared" si="3"/>
        <v>4.3452450000000002</v>
      </c>
      <c r="AH10" s="2">
        <f t="shared" si="9"/>
        <v>5</v>
      </c>
      <c r="AJ10" s="3" cm="1">
        <f t="array" ref="AJ10">MAX(L10:R10-L9:R9)</f>
        <v>2.9524499999999998</v>
      </c>
    </row>
    <row r="11" spans="1:36" x14ac:dyDescent="0.15">
      <c r="C11">
        <v>5</v>
      </c>
      <c r="D11" s="2" t="s">
        <v>10</v>
      </c>
      <c r="E11" s="2" t="str">
        <f t="shared" si="4"/>
        <v>&lt;</v>
      </c>
      <c r="F11" s="2" t="str">
        <f t="shared" si="0"/>
        <v>&lt;</v>
      </c>
      <c r="G11" s="2" t="str">
        <f t="shared" si="0"/>
        <v>&lt;</v>
      </c>
      <c r="H11" s="2" t="str">
        <f t="shared" si="0"/>
        <v>&gt;</v>
      </c>
      <c r="I11" s="2" t="str">
        <f t="shared" si="0"/>
        <v>&gt;</v>
      </c>
      <c r="J11" s="2" t="s">
        <v>10</v>
      </c>
      <c r="L11" s="2">
        <f t="shared" si="5"/>
        <v>5</v>
      </c>
      <c r="M11" s="2">
        <f t="shared" si="1"/>
        <v>5.42877382</v>
      </c>
      <c r="N11" s="2">
        <f t="shared" si="1"/>
        <v>4.7134669499999999</v>
      </c>
      <c r="O11" s="2">
        <f t="shared" si="1"/>
        <v>3.7095237900000009</v>
      </c>
      <c r="P11" s="2">
        <f t="shared" si="1"/>
        <v>3.8444179500000009</v>
      </c>
      <c r="Q11" s="2">
        <f t="shared" si="1"/>
        <v>4.3505594100000007</v>
      </c>
      <c r="R11" s="2">
        <f t="shared" si="1"/>
        <v>5</v>
      </c>
      <c r="T11" s="2">
        <f t="shared" si="6"/>
        <v>5</v>
      </c>
      <c r="U11" s="2">
        <f t="shared" si="7"/>
        <v>5.42877382</v>
      </c>
      <c r="V11" s="2">
        <f t="shared" si="2"/>
        <v>4.7134669499999999</v>
      </c>
      <c r="W11" s="2">
        <f t="shared" si="2"/>
        <v>3.7095237900000009</v>
      </c>
      <c r="X11" s="2">
        <f t="shared" si="2"/>
        <v>3.3139975499999998</v>
      </c>
      <c r="Y11" s="2">
        <f t="shared" si="2"/>
        <v>3.1550346900000004</v>
      </c>
      <c r="Z11" s="2">
        <v>0</v>
      </c>
      <c r="AB11" s="2">
        <v>0</v>
      </c>
      <c r="AC11" s="2">
        <f t="shared" si="8"/>
        <v>3.8589643800000006</v>
      </c>
      <c r="AD11" s="2">
        <f t="shared" si="3"/>
        <v>3.4105585500000002</v>
      </c>
      <c r="AE11" s="2">
        <f t="shared" si="3"/>
        <v>3.0838085100000003</v>
      </c>
      <c r="AF11" s="2">
        <f t="shared" si="3"/>
        <v>3.8444179500000009</v>
      </c>
      <c r="AG11" s="2">
        <f t="shared" si="3"/>
        <v>4.3505594100000007</v>
      </c>
      <c r="AH11" s="2">
        <f t="shared" si="9"/>
        <v>5</v>
      </c>
      <c r="AJ11" s="3" cm="1">
        <f t="array" ref="AJ11">MAX(L11:R11-L10:R10)</f>
        <v>0.50486895000000098</v>
      </c>
    </row>
    <row r="12" spans="1:36" x14ac:dyDescent="0.15">
      <c r="C12">
        <v>6</v>
      </c>
      <c r="D12" s="2" t="s">
        <v>10</v>
      </c>
      <c r="E12" s="2" t="str">
        <f t="shared" si="4"/>
        <v>&lt;</v>
      </c>
      <c r="F12" s="2" t="str">
        <f t="shared" si="0"/>
        <v>&lt;</v>
      </c>
      <c r="G12" s="2" t="str">
        <f t="shared" si="0"/>
        <v>&lt;</v>
      </c>
      <c r="H12" s="2" t="str">
        <f t="shared" si="0"/>
        <v>&gt;</v>
      </c>
      <c r="I12" s="2" t="str">
        <f t="shared" si="0"/>
        <v>&gt;</v>
      </c>
      <c r="J12" s="2" t="s">
        <v>10</v>
      </c>
      <c r="L12" s="2">
        <f t="shared" si="5"/>
        <v>5</v>
      </c>
      <c r="M12" s="2">
        <f t="shared" si="1"/>
        <v>5.4742120255</v>
      </c>
      <c r="N12" s="2">
        <f t="shared" si="1"/>
        <v>4.7311639353000006</v>
      </c>
      <c r="O12" s="2">
        <f t="shared" si="1"/>
        <v>4.1639058449999995</v>
      </c>
      <c r="P12" s="2">
        <f t="shared" si="1"/>
        <v>3.8578102632000011</v>
      </c>
      <c r="Q12" s="2">
        <f t="shared" si="1"/>
        <v>4.3959976154999998</v>
      </c>
      <c r="R12" s="2">
        <f t="shared" si="1"/>
        <v>5</v>
      </c>
      <c r="T12" s="2">
        <f t="shared" si="6"/>
        <v>5</v>
      </c>
      <c r="U12" s="2">
        <f t="shared" si="7"/>
        <v>5.4742120255</v>
      </c>
      <c r="V12" s="2">
        <f t="shared" si="2"/>
        <v>4.7311639353000006</v>
      </c>
      <c r="W12" s="2">
        <f t="shared" si="2"/>
        <v>4.1639058449999995</v>
      </c>
      <c r="X12" s="2">
        <f t="shared" si="2"/>
        <v>3.3962646168000004</v>
      </c>
      <c r="Y12" s="2">
        <f t="shared" si="2"/>
        <v>3.5639785395000008</v>
      </c>
      <c r="Z12" s="2">
        <v>0</v>
      </c>
      <c r="AB12" s="2">
        <v>0</v>
      </c>
      <c r="AC12" s="2">
        <f t="shared" si="8"/>
        <v>4.2679082294999997</v>
      </c>
      <c r="AD12" s="2">
        <f t="shared" si="3"/>
        <v>3.4933039137000006</v>
      </c>
      <c r="AE12" s="2">
        <f t="shared" si="3"/>
        <v>3.5381905650000007</v>
      </c>
      <c r="AF12" s="2">
        <f t="shared" si="3"/>
        <v>3.8578102632000011</v>
      </c>
      <c r="AG12" s="2">
        <f t="shared" si="3"/>
        <v>4.3959976154999998</v>
      </c>
      <c r="AH12" s="2">
        <f t="shared" si="9"/>
        <v>5</v>
      </c>
      <c r="AJ12" s="3" cm="1">
        <f t="array" ref="AJ12">MAX(L12:R12-L11:R11)</f>
        <v>0.45438205499999862</v>
      </c>
    </row>
    <row r="13" spans="1:36" x14ac:dyDescent="0.15">
      <c r="C13">
        <v>7</v>
      </c>
      <c r="D13" s="2" t="s">
        <v>10</v>
      </c>
      <c r="E13" s="2" t="str">
        <f t="shared" si="4"/>
        <v>&lt;</v>
      </c>
      <c r="F13" s="2" t="str">
        <f t="shared" si="0"/>
        <v>&lt;</v>
      </c>
      <c r="G13" s="2" t="str">
        <f t="shared" si="0"/>
        <v>&lt;</v>
      </c>
      <c r="H13" s="2" t="str">
        <f t="shared" si="0"/>
        <v>&gt;</v>
      </c>
      <c r="I13" s="2" t="str">
        <f t="shared" si="0"/>
        <v>&gt;</v>
      </c>
      <c r="J13" s="2" t="s">
        <v>10</v>
      </c>
      <c r="L13" s="2">
        <f t="shared" si="5"/>
        <v>5</v>
      </c>
      <c r="M13" s="2">
        <f t="shared" si="1"/>
        <v>5.4758047541770001</v>
      </c>
      <c r="N13" s="2">
        <f t="shared" si="1"/>
        <v>4.8088632667050009</v>
      </c>
      <c r="O13" s="2">
        <f t="shared" si="1"/>
        <v>4.1794457112810006</v>
      </c>
      <c r="P13" s="2">
        <f t="shared" si="1"/>
        <v>3.935509594605</v>
      </c>
      <c r="Q13" s="2">
        <f t="shared" si="1"/>
        <v>4.3972029236879999</v>
      </c>
      <c r="R13" s="2">
        <f t="shared" si="1"/>
        <v>5</v>
      </c>
      <c r="T13" s="2">
        <f t="shared" si="6"/>
        <v>5</v>
      </c>
      <c r="U13" s="2">
        <f t="shared" si="7"/>
        <v>5.4758047541770001</v>
      </c>
      <c r="V13" s="2">
        <f t="shared" si="2"/>
        <v>4.8088632667050009</v>
      </c>
      <c r="W13" s="2">
        <f t="shared" si="2"/>
        <v>4.1794457112810006</v>
      </c>
      <c r="X13" s="2">
        <f t="shared" si="2"/>
        <v>3.7684035198449997</v>
      </c>
      <c r="Y13" s="2">
        <f t="shared" si="2"/>
        <v>3.5748263131920011</v>
      </c>
      <c r="Z13" s="2">
        <v>0</v>
      </c>
      <c r="AB13" s="2">
        <v>0</v>
      </c>
      <c r="AC13" s="2">
        <f t="shared" si="8"/>
        <v>4.2822427875930007</v>
      </c>
      <c r="AD13" s="2">
        <f t="shared" si="3"/>
        <v>3.8654428167449999</v>
      </c>
      <c r="AE13" s="2">
        <f t="shared" si="3"/>
        <v>3.5506310673690007</v>
      </c>
      <c r="AF13" s="2">
        <f t="shared" si="3"/>
        <v>3.935509594605</v>
      </c>
      <c r="AG13" s="2">
        <f t="shared" si="3"/>
        <v>4.3972029236879999</v>
      </c>
      <c r="AH13" s="2">
        <f t="shared" si="9"/>
        <v>5</v>
      </c>
      <c r="AJ13" s="3" cm="1">
        <f t="array" ref="AJ13">MAX(L13:R13-L12:R12)</f>
        <v>7.7699331405000294E-2</v>
      </c>
    </row>
    <row r="14" spans="1:36" x14ac:dyDescent="0.15">
      <c r="C14">
        <v>8</v>
      </c>
      <c r="D14" s="2" t="s">
        <v>10</v>
      </c>
      <c r="E14" s="2" t="str">
        <f t="shared" si="4"/>
        <v>&lt;</v>
      </c>
      <c r="F14" s="2" t="str">
        <f t="shared" si="0"/>
        <v>&lt;</v>
      </c>
      <c r="G14" s="2" t="str">
        <f t="shared" si="0"/>
        <v>&lt;</v>
      </c>
      <c r="H14" s="2" t="str">
        <f t="shared" si="0"/>
        <v>&gt;</v>
      </c>
      <c r="I14" s="2" t="str">
        <f t="shared" si="0"/>
        <v>&gt;</v>
      </c>
      <c r="J14" s="2" t="s">
        <v>10</v>
      </c>
      <c r="L14" s="2">
        <f t="shared" si="5"/>
        <v>5</v>
      </c>
      <c r="M14" s="2">
        <f t="shared" si="1"/>
        <v>5.4827976940034509</v>
      </c>
      <c r="N14" s="2">
        <f t="shared" si="1"/>
        <v>4.8115519648986602</v>
      </c>
      <c r="O14" s="2">
        <f t="shared" si="1"/>
        <v>4.2493751095455004</v>
      </c>
      <c r="P14" s="2">
        <f t="shared" si="1"/>
        <v>3.9378844822025703</v>
      </c>
      <c r="Q14" s="2">
        <f t="shared" si="1"/>
        <v>4.4041958635144498</v>
      </c>
      <c r="R14" s="2">
        <f t="shared" si="1"/>
        <v>5</v>
      </c>
      <c r="T14" s="2">
        <f t="shared" si="6"/>
        <v>5</v>
      </c>
      <c r="U14" s="2">
        <f t="shared" si="7"/>
        <v>5.4827976940034509</v>
      </c>
      <c r="V14" s="2">
        <f t="shared" si="2"/>
        <v>4.8115519648986602</v>
      </c>
      <c r="W14" s="2">
        <f t="shared" si="2"/>
        <v>4.2493751095455004</v>
      </c>
      <c r="X14" s="2">
        <f t="shared" si="2"/>
        <v>3.7810992892695308</v>
      </c>
      <c r="Y14" s="2">
        <f t="shared" si="2"/>
        <v>3.63776277163005</v>
      </c>
      <c r="Z14" s="2">
        <v>0</v>
      </c>
      <c r="AB14" s="2">
        <v>0</v>
      </c>
      <c r="AC14" s="2">
        <f t="shared" si="8"/>
        <v>4.3451792460310505</v>
      </c>
      <c r="AD14" s="2">
        <f t="shared" si="3"/>
        <v>3.8781734540135409</v>
      </c>
      <c r="AE14" s="2">
        <f t="shared" si="3"/>
        <v>3.6205604656335004</v>
      </c>
      <c r="AF14" s="2">
        <f t="shared" si="3"/>
        <v>3.9378844822025703</v>
      </c>
      <c r="AG14" s="2">
        <f t="shared" si="3"/>
        <v>4.4041958635144498</v>
      </c>
      <c r="AH14" s="2">
        <f t="shared" si="9"/>
        <v>5</v>
      </c>
      <c r="AJ14" s="3" cm="1">
        <f t="array" ref="AJ14">MAX(L14:R14-L13:R13)</f>
        <v>6.9929398264499731E-2</v>
      </c>
    </row>
    <row r="15" spans="1:36" x14ac:dyDescent="0.15">
      <c r="C15">
        <v>9</v>
      </c>
      <c r="D15" s="2" t="s">
        <v>10</v>
      </c>
      <c r="E15" s="2" t="str">
        <f t="shared" si="4"/>
        <v>&lt;</v>
      </c>
      <c r="F15" s="2" t="str">
        <f t="shared" si="0"/>
        <v>&lt;</v>
      </c>
      <c r="G15" s="2" t="str">
        <f t="shared" si="0"/>
        <v>&lt;</v>
      </c>
      <c r="H15" s="2" t="str">
        <f t="shared" si="0"/>
        <v>&gt;</v>
      </c>
      <c r="I15" s="2" t="str">
        <f t="shared" si="0"/>
        <v>&gt;</v>
      </c>
      <c r="J15" s="2" t="s">
        <v>10</v>
      </c>
      <c r="L15" s="2">
        <f t="shared" si="5"/>
        <v>5</v>
      </c>
      <c r="M15" s="2">
        <f t="shared" si="1"/>
        <v>5.4830396768408791</v>
      </c>
      <c r="N15" s="2">
        <f t="shared" si="1"/>
        <v>4.8235098920018897</v>
      </c>
      <c r="O15" s="2">
        <f t="shared" si="1"/>
        <v>4.2517666949661468</v>
      </c>
      <c r="P15" s="2">
        <f t="shared" si="1"/>
        <v>3.9498424093057989</v>
      </c>
      <c r="Q15" s="2">
        <f t="shared" si="1"/>
        <v>4.4044096033982312</v>
      </c>
      <c r="R15" s="2">
        <f t="shared" si="1"/>
        <v>5</v>
      </c>
      <c r="T15" s="2">
        <f t="shared" si="6"/>
        <v>5</v>
      </c>
      <c r="U15" s="2">
        <f t="shared" si="7"/>
        <v>5.4830396768408791</v>
      </c>
      <c r="V15" s="2">
        <f t="shared" si="2"/>
        <v>4.8235098920018897</v>
      </c>
      <c r="W15" s="2">
        <f t="shared" si="2"/>
        <v>4.2517666949661468</v>
      </c>
      <c r="X15" s="2">
        <f t="shared" si="2"/>
        <v>3.8383714664481556</v>
      </c>
      <c r="Y15" s="2">
        <f t="shared" si="2"/>
        <v>3.6396864305840815</v>
      </c>
      <c r="Z15" s="2">
        <v>0</v>
      </c>
      <c r="AB15" s="2">
        <v>0</v>
      </c>
      <c r="AC15" s="2">
        <f t="shared" si="8"/>
        <v>4.3473570915679156</v>
      </c>
      <c r="AD15" s="2">
        <f t="shared" si="3"/>
        <v>3.9354456311921657</v>
      </c>
      <c r="AE15" s="2">
        <f t="shared" si="3"/>
        <v>3.622726107424961</v>
      </c>
      <c r="AF15" s="2">
        <f t="shared" si="3"/>
        <v>3.9498424093057989</v>
      </c>
      <c r="AG15" s="2">
        <f t="shared" si="3"/>
        <v>4.4044096033982312</v>
      </c>
      <c r="AH15" s="2">
        <f t="shared" si="9"/>
        <v>5</v>
      </c>
      <c r="AJ15" s="3" cm="1">
        <f t="array" ref="AJ15">MAX(L15:R15-L14:R14)</f>
        <v>1.1957927103229515E-2</v>
      </c>
    </row>
    <row r="16" spans="1:36" x14ac:dyDescent="0.15">
      <c r="C16">
        <v>10</v>
      </c>
      <c r="D16" s="2" t="s">
        <v>10</v>
      </c>
      <c r="E16" s="2" t="str">
        <f t="shared" si="4"/>
        <v>&lt;</v>
      </c>
      <c r="F16" s="2" t="str">
        <f t="shared" si="0"/>
        <v>&lt;</v>
      </c>
      <c r="G16" s="2" t="str">
        <f t="shared" si="0"/>
        <v>&lt;</v>
      </c>
      <c r="H16" s="2" t="str">
        <f t="shared" si="0"/>
        <v>&gt;</v>
      </c>
      <c r="I16" s="2" t="str">
        <f t="shared" si="0"/>
        <v>&gt;</v>
      </c>
      <c r="J16" s="2" t="s">
        <v>10</v>
      </c>
      <c r="L16" s="2">
        <f t="shared" si="5"/>
        <v>5</v>
      </c>
      <c r="M16" s="2">
        <f t="shared" si="1"/>
        <v>5.4841158902801697</v>
      </c>
      <c r="N16" s="2">
        <f t="shared" si="1"/>
        <v>4.8239211407880651</v>
      </c>
      <c r="O16" s="2">
        <f t="shared" si="1"/>
        <v>4.2625288293590522</v>
      </c>
      <c r="P16" s="2">
        <f t="shared" si="1"/>
        <v>3.9502307812995205</v>
      </c>
      <c r="Q16" s="2">
        <f t="shared" si="1"/>
        <v>4.4054858168375217</v>
      </c>
      <c r="R16" s="2">
        <f t="shared" si="1"/>
        <v>5</v>
      </c>
      <c r="T16" s="2">
        <f t="shared" si="6"/>
        <v>5</v>
      </c>
      <c r="U16" s="2">
        <f t="shared" si="7"/>
        <v>5.4841158902801697</v>
      </c>
      <c r="V16" s="2">
        <f t="shared" si="2"/>
        <v>4.8239211407880651</v>
      </c>
      <c r="W16" s="2">
        <f t="shared" si="2"/>
        <v>4.2625288293590522</v>
      </c>
      <c r="X16" s="2">
        <f t="shared" si="2"/>
        <v>3.8403278872284199</v>
      </c>
      <c r="Y16" s="2">
        <f t="shared" si="2"/>
        <v>3.6493723515376972</v>
      </c>
      <c r="Z16" s="2">
        <v>0</v>
      </c>
      <c r="AB16" s="2">
        <v>0</v>
      </c>
      <c r="AC16" s="2">
        <f t="shared" si="8"/>
        <v>4.3570430125215314</v>
      </c>
      <c r="AD16" s="2">
        <f t="shared" si="3"/>
        <v>3.937404593838258</v>
      </c>
      <c r="AE16" s="2">
        <f t="shared" si="3"/>
        <v>3.6334882418178669</v>
      </c>
      <c r="AF16" s="2">
        <f t="shared" si="3"/>
        <v>3.9502307812995205</v>
      </c>
      <c r="AG16" s="2">
        <f t="shared" si="3"/>
        <v>4.4054858168375217</v>
      </c>
      <c r="AH16" s="2">
        <f t="shared" si="9"/>
        <v>5</v>
      </c>
      <c r="AJ16" s="3" cm="1">
        <f t="array" ref="AJ16">MAX(L16:R16-L15:R15)</f>
        <v>1.0762134392905409E-2</v>
      </c>
    </row>
    <row r="19" spans="1:2" x14ac:dyDescent="0.15">
      <c r="A19" s="5" t="s">
        <v>12</v>
      </c>
    </row>
    <row r="20" spans="1:2" x14ac:dyDescent="0.15">
      <c r="A20" s="5" t="s">
        <v>13</v>
      </c>
      <c r="B20" s="5" t="s">
        <v>14</v>
      </c>
    </row>
    <row r="21" spans="1:2" x14ac:dyDescent="0.15">
      <c r="A21" s="5" t="s">
        <v>15</v>
      </c>
      <c r="B21" s="5" t="s">
        <v>16</v>
      </c>
    </row>
    <row r="22" spans="1:2" x14ac:dyDescent="0.15">
      <c r="A22" s="5" t="s">
        <v>17</v>
      </c>
      <c r="B22" s="5" t="s">
        <v>18</v>
      </c>
    </row>
    <row r="23" spans="1:2" x14ac:dyDescent="0.15">
      <c r="A23" s="5" t="s">
        <v>19</v>
      </c>
      <c r="B23" s="5" t="s">
        <v>20</v>
      </c>
    </row>
    <row r="24" spans="1:2" x14ac:dyDescent="0.15">
      <c r="A24" s="5" t="s">
        <v>11</v>
      </c>
      <c r="B24" s="5" t="s">
        <v>21</v>
      </c>
    </row>
  </sheetData>
  <mergeCells count="4">
    <mergeCell ref="D4:J4"/>
    <mergeCell ref="L4:R4"/>
    <mergeCell ref="T4:Z4"/>
    <mergeCell ref="AB4:AH4"/>
  </mergeCells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C540-C409-B442-A9FD-8059CDDA5FFA}">
  <dimension ref="A1:BO24"/>
  <sheetViews>
    <sheetView zoomScale="150" workbookViewId="0">
      <selection activeCell="B23" sqref="B23"/>
    </sheetView>
  </sheetViews>
  <sheetFormatPr baseColWidth="10" defaultRowHeight="13" x14ac:dyDescent="0.15"/>
  <cols>
    <col min="1" max="1" width="12" bestFit="1" customWidth="1"/>
    <col min="2" max="2" width="5" bestFit="1" customWidth="1"/>
    <col min="3" max="3" width="3.33203125" bestFit="1" customWidth="1"/>
    <col min="4" max="4" width="2.1640625" bestFit="1" customWidth="1"/>
    <col min="5" max="12" width="2.5" bestFit="1" customWidth="1"/>
    <col min="13" max="17" width="3.33203125" bestFit="1" customWidth="1"/>
    <col min="18" max="21" width="2.1640625" customWidth="1"/>
    <col min="22" max="22" width="3.5" customWidth="1"/>
    <col min="23" max="28" width="5" bestFit="1" customWidth="1"/>
    <col min="29" max="29" width="7.1640625" bestFit="1" customWidth="1"/>
    <col min="30" max="36" width="5" bestFit="1" customWidth="1"/>
    <col min="37" max="37" width="7.1640625" customWidth="1"/>
    <col min="38" max="38" width="3.5" customWidth="1"/>
    <col min="39" max="52" width="5" bestFit="1" customWidth="1"/>
    <col min="54" max="67" width="5" bestFit="1" customWidth="1"/>
  </cols>
  <sheetData>
    <row r="1" spans="1:67" x14ac:dyDescent="0.15">
      <c r="A1" t="s">
        <v>9</v>
      </c>
      <c r="B1" s="3">
        <v>0.01</v>
      </c>
      <c r="AM1">
        <v>1</v>
      </c>
      <c r="AN1">
        <v>2</v>
      </c>
      <c r="AO1">
        <v>3</v>
      </c>
      <c r="AP1">
        <v>4</v>
      </c>
      <c r="AQ1">
        <v>5</v>
      </c>
      <c r="AR1">
        <v>6</v>
      </c>
      <c r="AS1">
        <v>7</v>
      </c>
      <c r="AT1">
        <v>8</v>
      </c>
      <c r="AU1">
        <v>9</v>
      </c>
      <c r="AV1">
        <v>10</v>
      </c>
      <c r="AW1">
        <v>11</v>
      </c>
      <c r="AX1">
        <v>12</v>
      </c>
      <c r="AY1">
        <v>13</v>
      </c>
      <c r="AZ1">
        <v>14</v>
      </c>
      <c r="BB1">
        <v>1</v>
      </c>
      <c r="BC1">
        <v>2</v>
      </c>
      <c r="BD1">
        <v>3</v>
      </c>
      <c r="BE1">
        <v>4</v>
      </c>
      <c r="BF1">
        <v>5</v>
      </c>
      <c r="BG1">
        <v>6</v>
      </c>
      <c r="BH1">
        <v>7</v>
      </c>
      <c r="BI1">
        <v>8</v>
      </c>
      <c r="BJ1">
        <v>9</v>
      </c>
      <c r="BK1">
        <v>10</v>
      </c>
      <c r="BL1">
        <v>11</v>
      </c>
      <c r="BM1">
        <v>12</v>
      </c>
      <c r="BN1">
        <v>13</v>
      </c>
      <c r="BO1">
        <v>14</v>
      </c>
    </row>
    <row r="2" spans="1:67" x14ac:dyDescent="0.15">
      <c r="A2" t="s">
        <v>0</v>
      </c>
      <c r="B2" s="3">
        <v>0.9</v>
      </c>
      <c r="AC2" t="s">
        <v>6</v>
      </c>
      <c r="AM2" s="2">
        <v>5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5</v>
      </c>
    </row>
    <row r="3" spans="1:67" x14ac:dyDescent="0.15">
      <c r="A3" t="s">
        <v>1</v>
      </c>
      <c r="B3" s="3">
        <v>0.9</v>
      </c>
    </row>
    <row r="4" spans="1:67" x14ac:dyDescent="0.15">
      <c r="A4" t="s">
        <v>2</v>
      </c>
      <c r="B4" s="3">
        <f>1-B3</f>
        <v>9.9999999999999978E-2</v>
      </c>
      <c r="D4" s="4" t="s">
        <v>4</v>
      </c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W4" s="4" t="s">
        <v>5</v>
      </c>
      <c r="X4" s="4"/>
      <c r="Y4" s="4"/>
      <c r="Z4" s="4"/>
      <c r="AA4" s="4"/>
      <c r="AB4" s="4"/>
      <c r="AC4" s="4"/>
      <c r="AD4" s="1"/>
      <c r="AE4" s="1"/>
      <c r="AF4" s="1"/>
      <c r="AG4" s="1"/>
      <c r="AH4" s="1"/>
      <c r="AI4" s="1"/>
      <c r="AJ4" s="1"/>
      <c r="AK4" s="1"/>
      <c r="AM4" s="4" t="s">
        <v>7</v>
      </c>
      <c r="AN4" s="4"/>
      <c r="AO4" s="4"/>
      <c r="AP4" s="4"/>
      <c r="AQ4" s="4"/>
      <c r="AR4" s="4"/>
      <c r="AS4" s="4"/>
      <c r="BB4" s="4" t="s">
        <v>8</v>
      </c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 spans="1:67" x14ac:dyDescent="0.15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W5">
        <v>1</v>
      </c>
      <c r="X5">
        <v>2</v>
      </c>
      <c r="Y5">
        <v>3</v>
      </c>
      <c r="Z5">
        <v>4</v>
      </c>
      <c r="AA5">
        <v>5</v>
      </c>
      <c r="AB5">
        <v>6</v>
      </c>
      <c r="AC5">
        <v>7</v>
      </c>
      <c r="AD5">
        <v>8</v>
      </c>
      <c r="AE5">
        <v>9</v>
      </c>
      <c r="AF5">
        <v>10</v>
      </c>
      <c r="AG5">
        <v>11</v>
      </c>
      <c r="AH5">
        <v>12</v>
      </c>
      <c r="AI5">
        <v>13</v>
      </c>
      <c r="AJ5">
        <v>14</v>
      </c>
      <c r="AM5">
        <v>1</v>
      </c>
      <c r="AN5">
        <v>2</v>
      </c>
      <c r="AO5">
        <v>3</v>
      </c>
      <c r="AP5">
        <v>4</v>
      </c>
      <c r="AQ5">
        <v>5</v>
      </c>
      <c r="AR5">
        <v>6</v>
      </c>
      <c r="AS5">
        <v>7</v>
      </c>
      <c r="AT5">
        <v>8</v>
      </c>
      <c r="AU5">
        <v>9</v>
      </c>
      <c r="AV5">
        <v>10</v>
      </c>
      <c r="AW5">
        <v>11</v>
      </c>
      <c r="AX5">
        <v>12</v>
      </c>
      <c r="AY5">
        <v>13</v>
      </c>
      <c r="AZ5">
        <v>14</v>
      </c>
      <c r="BB5">
        <v>1</v>
      </c>
      <c r="BC5">
        <v>2</v>
      </c>
      <c r="BD5">
        <v>3</v>
      </c>
      <c r="BE5">
        <v>4</v>
      </c>
      <c r="BF5">
        <v>5</v>
      </c>
      <c r="BG5">
        <v>6</v>
      </c>
      <c r="BH5">
        <v>7</v>
      </c>
      <c r="BI5">
        <v>8</v>
      </c>
      <c r="BJ5">
        <v>9</v>
      </c>
      <c r="BK5">
        <v>10</v>
      </c>
      <c r="BL5">
        <v>11</v>
      </c>
      <c r="BM5">
        <v>12</v>
      </c>
      <c r="BN5">
        <v>13</v>
      </c>
      <c r="BO5">
        <v>14</v>
      </c>
    </row>
    <row r="6" spans="1:67" x14ac:dyDescent="0.15">
      <c r="B6" t="s">
        <v>3</v>
      </c>
      <c r="C6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6"/>
    </row>
    <row r="7" spans="1:67" x14ac:dyDescent="0.15">
      <c r="C7">
        <v>1</v>
      </c>
      <c r="D7" s="2" t="s">
        <v>10</v>
      </c>
      <c r="E7" s="2" t="str">
        <f>IF(AN7 = BC7,"?", IF(AN7 &gt; BC7, "&lt;", "&gt;"))</f>
        <v>?</v>
      </c>
      <c r="F7" s="2" t="str">
        <f t="shared" ref="F7:P7" si="0">IF(AO7 = BD7,"?", IF(AO7 &gt; BD7, "&lt;", "&gt;"))</f>
        <v>?</v>
      </c>
      <c r="G7" s="2" t="str">
        <f t="shared" si="0"/>
        <v>?</v>
      </c>
      <c r="H7" s="2" t="str">
        <f t="shared" si="0"/>
        <v>?</v>
      </c>
      <c r="I7" s="2" t="str">
        <f t="shared" si="0"/>
        <v>?</v>
      </c>
      <c r="J7" s="2" t="str">
        <f t="shared" si="0"/>
        <v>?</v>
      </c>
      <c r="K7" s="2" t="str">
        <f t="shared" si="0"/>
        <v>?</v>
      </c>
      <c r="L7" s="2" t="str">
        <f t="shared" si="0"/>
        <v>?</v>
      </c>
      <c r="M7" s="2" t="str">
        <f t="shared" si="0"/>
        <v>?</v>
      </c>
      <c r="N7" s="2" t="str">
        <f t="shared" si="0"/>
        <v>?</v>
      </c>
      <c r="O7" s="2" t="str">
        <f t="shared" si="0"/>
        <v>?</v>
      </c>
      <c r="P7" s="2" t="str">
        <f t="shared" si="0"/>
        <v>?</v>
      </c>
      <c r="Q7" s="2" t="s">
        <v>10</v>
      </c>
      <c r="R7" s="6"/>
      <c r="S7" s="6"/>
      <c r="T7" s="6"/>
      <c r="U7" s="6"/>
      <c r="W7" s="2">
        <f>MAX(AM7,BB7)</f>
        <v>5</v>
      </c>
      <c r="X7" s="2">
        <f>MAX(AN7,BC7)</f>
        <v>0</v>
      </c>
      <c r="Y7" s="2">
        <f t="shared" ref="Y7:AI7" si="1">MAX(AO7,BD7)</f>
        <v>0</v>
      </c>
      <c r="Z7" s="2">
        <f t="shared" si="1"/>
        <v>0</v>
      </c>
      <c r="AA7" s="2">
        <f t="shared" si="1"/>
        <v>0</v>
      </c>
      <c r="AB7" s="2">
        <f t="shared" si="1"/>
        <v>0</v>
      </c>
      <c r="AC7" s="2">
        <f t="shared" si="1"/>
        <v>0</v>
      </c>
      <c r="AD7" s="2">
        <f t="shared" si="1"/>
        <v>0</v>
      </c>
      <c r="AE7" s="2">
        <f t="shared" si="1"/>
        <v>0</v>
      </c>
      <c r="AF7" s="2">
        <f t="shared" si="1"/>
        <v>0</v>
      </c>
      <c r="AG7" s="2">
        <f t="shared" si="1"/>
        <v>0</v>
      </c>
      <c r="AH7" s="2">
        <f t="shared" si="1"/>
        <v>0</v>
      </c>
      <c r="AI7" s="2">
        <f t="shared" si="1"/>
        <v>0</v>
      </c>
      <c r="AJ7" s="2">
        <f>MAX(AZ7,BO7)</f>
        <v>5</v>
      </c>
      <c r="AK7" s="6"/>
      <c r="AM7" s="2">
        <f>$AM$2</f>
        <v>5</v>
      </c>
      <c r="AN7" s="2">
        <f>AN$2+$B$2*(W6*$B$3 + Y6*$B$4)</f>
        <v>0</v>
      </c>
      <c r="AO7" s="2">
        <f t="shared" ref="AO7:AY7" si="2">AO$2+$B$2*(X6*$B$3 + Z6*$B$4)</f>
        <v>0</v>
      </c>
      <c r="AP7" s="2">
        <f t="shared" si="2"/>
        <v>0</v>
      </c>
      <c r="AQ7" s="2">
        <f t="shared" si="2"/>
        <v>0</v>
      </c>
      <c r="AR7" s="2">
        <f t="shared" si="2"/>
        <v>0</v>
      </c>
      <c r="AS7" s="2">
        <f t="shared" si="2"/>
        <v>0</v>
      </c>
      <c r="AT7" s="2">
        <f t="shared" si="2"/>
        <v>0</v>
      </c>
      <c r="AU7" s="2">
        <f t="shared" si="2"/>
        <v>0</v>
      </c>
      <c r="AV7" s="2">
        <f t="shared" si="2"/>
        <v>0</v>
      </c>
      <c r="AW7" s="2">
        <f t="shared" si="2"/>
        <v>0</v>
      </c>
      <c r="AX7" s="2">
        <f t="shared" si="2"/>
        <v>0</v>
      </c>
      <c r="AY7" s="2">
        <f t="shared" si="2"/>
        <v>0</v>
      </c>
      <c r="AZ7" s="2">
        <f>$AZ$2</f>
        <v>0</v>
      </c>
      <c r="BB7" s="2">
        <v>0</v>
      </c>
      <c r="BC7" s="2">
        <f>BC$2+$B$2*(Y6*$B$3 + W6*$B$4)</f>
        <v>0</v>
      </c>
      <c r="BD7" s="2">
        <f t="shared" ref="BD7:BN7" si="3">BD$2+$B$2*(Z6*$B$3 + X6*$B$4)</f>
        <v>0</v>
      </c>
      <c r="BE7" s="2">
        <f t="shared" si="3"/>
        <v>0</v>
      </c>
      <c r="BF7" s="2">
        <f t="shared" si="3"/>
        <v>0</v>
      </c>
      <c r="BG7" s="2">
        <f t="shared" si="3"/>
        <v>0</v>
      </c>
      <c r="BH7" s="2">
        <f t="shared" si="3"/>
        <v>0</v>
      </c>
      <c r="BI7" s="2">
        <f t="shared" si="3"/>
        <v>0</v>
      </c>
      <c r="BJ7" s="2">
        <f t="shared" si="3"/>
        <v>0</v>
      </c>
      <c r="BK7" s="2">
        <f t="shared" si="3"/>
        <v>0</v>
      </c>
      <c r="BL7" s="2">
        <f t="shared" si="3"/>
        <v>0</v>
      </c>
      <c r="BM7" s="2">
        <f t="shared" si="3"/>
        <v>0</v>
      </c>
      <c r="BN7" s="2">
        <f t="shared" si="3"/>
        <v>0</v>
      </c>
      <c r="BO7" s="2">
        <f>$BO$2</f>
        <v>5</v>
      </c>
    </row>
    <row r="8" spans="1:67" x14ac:dyDescent="0.15">
      <c r="C8">
        <v>2</v>
      </c>
      <c r="D8" s="2" t="s">
        <v>10</v>
      </c>
      <c r="E8" s="2" t="str">
        <f t="shared" ref="E8:E16" si="4">IF(AN8 = BC8,"?", IF(AN8 &gt; BC8, "&lt;", "&gt;"))</f>
        <v>&lt;</v>
      </c>
      <c r="F8" s="2" t="str">
        <f t="shared" ref="F8:F16" si="5">IF(AO8 = BD8,"?", IF(AO8 &gt; BD8, "&lt;", "&gt;"))</f>
        <v>?</v>
      </c>
      <c r="G8" s="2" t="str">
        <f t="shared" ref="G8:G16" si="6">IF(AP8 = BE8,"?", IF(AP8 &gt; BE8, "&lt;", "&gt;"))</f>
        <v>?</v>
      </c>
      <c r="H8" s="2" t="str">
        <f t="shared" ref="H8:H16" si="7">IF(AQ8 = BF8,"?", IF(AQ8 &gt; BF8, "&lt;", "&gt;"))</f>
        <v>?</v>
      </c>
      <c r="I8" s="2" t="str">
        <f t="shared" ref="I8:I16" si="8">IF(AR8 = BG8,"?", IF(AR8 &gt; BG8, "&lt;", "&gt;"))</f>
        <v>?</v>
      </c>
      <c r="J8" s="2" t="str">
        <f t="shared" ref="J8:J16" si="9">IF(AS8 = BH8,"?", IF(AS8 &gt; BH8, "&lt;", "&gt;"))</f>
        <v>?</v>
      </c>
      <c r="K8" s="2" t="str">
        <f t="shared" ref="K8:K16" si="10">IF(AT8 = BI8,"?", IF(AT8 &gt; BI8, "&lt;", "&gt;"))</f>
        <v>?</v>
      </c>
      <c r="L8" s="2" t="str">
        <f t="shared" ref="L8:L16" si="11">IF(AU8 = BJ8,"?", IF(AU8 &gt; BJ8, "&lt;", "&gt;"))</f>
        <v>?</v>
      </c>
      <c r="M8" s="2" t="str">
        <f t="shared" ref="M8:M16" si="12">IF(AV8 = BK8,"?", IF(AV8 &gt; BK8, "&lt;", "&gt;"))</f>
        <v>?</v>
      </c>
      <c r="N8" s="2" t="str">
        <f t="shared" ref="N8:N16" si="13">IF(AW8 = BL8,"?", IF(AW8 &gt; BL8, "&lt;", "&gt;"))</f>
        <v>?</v>
      </c>
      <c r="O8" s="2" t="str">
        <f t="shared" ref="O8:O16" si="14">IF(AX8 = BM8,"?", IF(AX8 &gt; BM8, "&lt;", "&gt;"))</f>
        <v>?</v>
      </c>
      <c r="P8" s="2" t="str">
        <f t="shared" ref="P8:P16" si="15">IF(AY8 = BN8,"?", IF(AY8 &gt; BN8, "&lt;", "&gt;"))</f>
        <v>&gt;</v>
      </c>
      <c r="Q8" s="2" t="s">
        <v>10</v>
      </c>
      <c r="R8" s="6"/>
      <c r="S8" s="6"/>
      <c r="T8" s="6"/>
      <c r="U8" s="6"/>
      <c r="W8" s="2">
        <f>MAX(AM8,BB8)</f>
        <v>5</v>
      </c>
      <c r="X8" s="2">
        <f t="shared" ref="X8:X16" si="16">MAX(AN8,BC8)</f>
        <v>4.05</v>
      </c>
      <c r="Y8" s="2">
        <f t="shared" ref="Y8:Y16" si="17">MAX(AO8,BD8)</f>
        <v>0</v>
      </c>
      <c r="Z8" s="2">
        <f t="shared" ref="Z8:Z16" si="18">MAX(AP8,BE8)</f>
        <v>0</v>
      </c>
      <c r="AA8" s="2">
        <f t="shared" ref="AA8:AA16" si="19">MAX(AQ8,BF8)</f>
        <v>0</v>
      </c>
      <c r="AB8" s="2">
        <f t="shared" ref="AB8:AB16" si="20">MAX(AR8,BG8)</f>
        <v>0</v>
      </c>
      <c r="AC8" s="2">
        <f t="shared" ref="AC8:AC16" si="21">MAX(AS8,BH8)</f>
        <v>0</v>
      </c>
      <c r="AD8" s="2">
        <f t="shared" ref="AD8:AD16" si="22">MAX(AT8,BI8)</f>
        <v>0</v>
      </c>
      <c r="AE8" s="2">
        <f t="shared" ref="AE8:AE16" si="23">MAX(AU8,BJ8)</f>
        <v>0</v>
      </c>
      <c r="AF8" s="2">
        <f t="shared" ref="AF8:AF16" si="24">MAX(AV8,BK8)</f>
        <v>0</v>
      </c>
      <c r="AG8" s="2">
        <f t="shared" ref="AG8:AG16" si="25">MAX(AW8,BL8)</f>
        <v>0</v>
      </c>
      <c r="AH8" s="2">
        <f t="shared" ref="AH8:AH16" si="26">MAX(AX8,BM8)</f>
        <v>0</v>
      </c>
      <c r="AI8" s="2">
        <f t="shared" ref="AI8:AI16" si="27">MAX(AY8,BN8)</f>
        <v>4.05</v>
      </c>
      <c r="AJ8" s="2">
        <f>MAX(AZ8,BO8)</f>
        <v>5</v>
      </c>
      <c r="AK8" s="6"/>
      <c r="AM8" s="2">
        <f t="shared" ref="AM8:AM16" si="28">$AM$2</f>
        <v>5</v>
      </c>
      <c r="AN8" s="2">
        <f t="shared" ref="AN8:AN16" si="29">AN$2+$B$2*(W7*$B$3 + Y7*$B$4)</f>
        <v>4.05</v>
      </c>
      <c r="AO8" s="2">
        <f t="shared" ref="AO8:AO16" si="30">AO$2+$B$2*(X7*$B$3 + Z7*$B$4)</f>
        <v>0</v>
      </c>
      <c r="AP8" s="2">
        <f t="shared" ref="AP8:AP16" si="31">AP$2+$B$2*(Y7*$B$3 + AA7*$B$4)</f>
        <v>0</v>
      </c>
      <c r="AQ8" s="2">
        <f t="shared" ref="AQ8:AQ16" si="32">AQ$2+$B$2*(Z7*$B$3 + AB7*$B$4)</f>
        <v>0</v>
      </c>
      <c r="AR8" s="2">
        <f t="shared" ref="AR8:AR16" si="33">AR$2+$B$2*(AA7*$B$3 + AC7*$B$4)</f>
        <v>0</v>
      </c>
      <c r="AS8" s="2">
        <f t="shared" ref="AS8:AS16" si="34">AS$2+$B$2*(AB7*$B$3 + AD7*$B$4)</f>
        <v>0</v>
      </c>
      <c r="AT8" s="2">
        <f t="shared" ref="AT8:AT16" si="35">AT$2+$B$2*(AC7*$B$3 + AE7*$B$4)</f>
        <v>0</v>
      </c>
      <c r="AU8" s="2">
        <f t="shared" ref="AU8:AU16" si="36">AU$2+$B$2*(AD7*$B$3 + AF7*$B$4)</f>
        <v>0</v>
      </c>
      <c r="AV8" s="2">
        <f t="shared" ref="AV8:AV16" si="37">AV$2+$B$2*(AE7*$B$3 + AG7*$B$4)</f>
        <v>0</v>
      </c>
      <c r="AW8" s="2">
        <f t="shared" ref="AW8:AW16" si="38">AW$2+$B$2*(AF7*$B$3 + AH7*$B$4)</f>
        <v>0</v>
      </c>
      <c r="AX8" s="2">
        <f t="shared" ref="AX8:AX16" si="39">AX$2+$B$2*(AG7*$B$3 + AI7*$B$4)</f>
        <v>0</v>
      </c>
      <c r="AY8" s="2">
        <f t="shared" ref="AY8:AY16" si="40">AY$2+$B$2*(AH7*$B$3 + AJ7*$B$4)</f>
        <v>0.4499999999999999</v>
      </c>
      <c r="AZ8" s="2">
        <f t="shared" ref="AZ8:AZ16" si="41">$AZ$2</f>
        <v>0</v>
      </c>
      <c r="BB8" s="2">
        <v>0</v>
      </c>
      <c r="BC8" s="2">
        <f t="shared" ref="BC8:BC16" si="42">BC$2+$B$2*(Y7*$B$3 + W7*$B$4)</f>
        <v>0.4499999999999999</v>
      </c>
      <c r="BD8" s="2">
        <f t="shared" ref="BD8:BD16" si="43">BD$2+$B$2*(Z7*$B$3 + X7*$B$4)</f>
        <v>0</v>
      </c>
      <c r="BE8" s="2">
        <f t="shared" ref="BE8:BE16" si="44">BE$2+$B$2*(AA7*$B$3 + Y7*$B$4)</f>
        <v>0</v>
      </c>
      <c r="BF8" s="2">
        <f t="shared" ref="BF8:BF16" si="45">BF$2+$B$2*(AB7*$B$3 + Z7*$B$4)</f>
        <v>0</v>
      </c>
      <c r="BG8" s="2">
        <f t="shared" ref="BG8:BG16" si="46">BG$2+$B$2*(AC7*$B$3 + AA7*$B$4)</f>
        <v>0</v>
      </c>
      <c r="BH8" s="2">
        <f t="shared" ref="BH8:BH16" si="47">BH$2+$B$2*(AD7*$B$3 + AB7*$B$4)</f>
        <v>0</v>
      </c>
      <c r="BI8" s="2">
        <f t="shared" ref="BI8:BI16" si="48">BI$2+$B$2*(AE7*$B$3 + AC7*$B$4)</f>
        <v>0</v>
      </c>
      <c r="BJ8" s="2">
        <f t="shared" ref="BJ8:BJ16" si="49">BJ$2+$B$2*(AF7*$B$3 + AD7*$B$4)</f>
        <v>0</v>
      </c>
      <c r="BK8" s="2">
        <f t="shared" ref="BK8:BK16" si="50">BK$2+$B$2*(AG7*$B$3 + AE7*$B$4)</f>
        <v>0</v>
      </c>
      <c r="BL8" s="2">
        <f t="shared" ref="BL8:BL16" si="51">BL$2+$B$2*(AH7*$B$3 + AF7*$B$4)</f>
        <v>0</v>
      </c>
      <c r="BM8" s="2">
        <f t="shared" ref="BM8:BM16" si="52">BM$2+$B$2*(AI7*$B$3 + AG7*$B$4)</f>
        <v>0</v>
      </c>
      <c r="BN8" s="2">
        <f t="shared" ref="BN8:BN16" si="53">BN$2+$B$2*(AJ7*$B$3 + AH7*$B$4)</f>
        <v>4.05</v>
      </c>
      <c r="BO8" s="2">
        <f t="shared" ref="BO8:BO16" si="54">$BO$2</f>
        <v>5</v>
      </c>
    </row>
    <row r="9" spans="1:67" x14ac:dyDescent="0.15">
      <c r="C9">
        <v>3</v>
      </c>
      <c r="D9" s="2" t="s">
        <v>10</v>
      </c>
      <c r="E9" s="2" t="str">
        <f t="shared" si="4"/>
        <v>&lt;</v>
      </c>
      <c r="F9" s="2" t="str">
        <f t="shared" si="5"/>
        <v>&lt;</v>
      </c>
      <c r="G9" s="2" t="str">
        <f t="shared" si="6"/>
        <v>?</v>
      </c>
      <c r="H9" s="2" t="str">
        <f t="shared" si="7"/>
        <v>?</v>
      </c>
      <c r="I9" s="2" t="str">
        <f t="shared" si="8"/>
        <v>?</v>
      </c>
      <c r="J9" s="2" t="str">
        <f t="shared" si="9"/>
        <v>?</v>
      </c>
      <c r="K9" s="2" t="str">
        <f t="shared" si="10"/>
        <v>?</v>
      </c>
      <c r="L9" s="2" t="str">
        <f t="shared" si="11"/>
        <v>?</v>
      </c>
      <c r="M9" s="2" t="str">
        <f t="shared" si="12"/>
        <v>?</v>
      </c>
      <c r="N9" s="2" t="str">
        <f t="shared" si="13"/>
        <v>?</v>
      </c>
      <c r="O9" s="2" t="str">
        <f t="shared" si="14"/>
        <v>&gt;</v>
      </c>
      <c r="P9" s="2" t="str">
        <f t="shared" si="15"/>
        <v>&gt;</v>
      </c>
      <c r="Q9" s="2" t="s">
        <v>10</v>
      </c>
      <c r="R9" s="6"/>
      <c r="S9" s="6"/>
      <c r="T9" s="6"/>
      <c r="U9" s="6"/>
      <c r="W9" s="2">
        <f>MAX(AM9,BB9)</f>
        <v>5</v>
      </c>
      <c r="X9" s="2">
        <f t="shared" si="16"/>
        <v>4.05</v>
      </c>
      <c r="Y9" s="2">
        <f t="shared" si="17"/>
        <v>3.2805</v>
      </c>
      <c r="Z9" s="2">
        <f t="shared" si="18"/>
        <v>0</v>
      </c>
      <c r="AA9" s="2">
        <f t="shared" si="19"/>
        <v>0</v>
      </c>
      <c r="AB9" s="2">
        <f t="shared" si="20"/>
        <v>0</v>
      </c>
      <c r="AC9" s="2">
        <f t="shared" si="21"/>
        <v>0</v>
      </c>
      <c r="AD9" s="2">
        <f t="shared" si="22"/>
        <v>0</v>
      </c>
      <c r="AE9" s="2">
        <f t="shared" si="23"/>
        <v>0</v>
      </c>
      <c r="AF9" s="2">
        <f t="shared" si="24"/>
        <v>0</v>
      </c>
      <c r="AG9" s="2">
        <f t="shared" si="25"/>
        <v>0</v>
      </c>
      <c r="AH9" s="2">
        <f t="shared" si="26"/>
        <v>3.2805</v>
      </c>
      <c r="AI9" s="2">
        <f t="shared" si="27"/>
        <v>4.05</v>
      </c>
      <c r="AJ9" s="2">
        <f>MAX(AZ9,BO9)</f>
        <v>5</v>
      </c>
      <c r="AK9" s="6"/>
      <c r="AM9" s="2">
        <f t="shared" si="28"/>
        <v>5</v>
      </c>
      <c r="AN9" s="2">
        <f t="shared" si="29"/>
        <v>4.05</v>
      </c>
      <c r="AO9" s="2">
        <f t="shared" si="30"/>
        <v>3.2805</v>
      </c>
      <c r="AP9" s="2">
        <f t="shared" si="31"/>
        <v>0</v>
      </c>
      <c r="AQ9" s="2">
        <f t="shared" si="32"/>
        <v>0</v>
      </c>
      <c r="AR9" s="2">
        <f t="shared" si="33"/>
        <v>0</v>
      </c>
      <c r="AS9" s="2">
        <f t="shared" si="34"/>
        <v>0</v>
      </c>
      <c r="AT9" s="2">
        <f t="shared" si="35"/>
        <v>0</v>
      </c>
      <c r="AU9" s="2">
        <f t="shared" si="36"/>
        <v>0</v>
      </c>
      <c r="AV9" s="2">
        <f t="shared" si="37"/>
        <v>0</v>
      </c>
      <c r="AW9" s="2">
        <f t="shared" si="38"/>
        <v>0</v>
      </c>
      <c r="AX9" s="2">
        <f t="shared" si="39"/>
        <v>0.36449999999999994</v>
      </c>
      <c r="AY9" s="2">
        <f t="shared" si="40"/>
        <v>0.4499999999999999</v>
      </c>
      <c r="AZ9" s="2">
        <f t="shared" si="41"/>
        <v>0</v>
      </c>
      <c r="BB9" s="2">
        <v>0</v>
      </c>
      <c r="BC9" s="2">
        <f t="shared" si="42"/>
        <v>0.4499999999999999</v>
      </c>
      <c r="BD9" s="2">
        <f t="shared" si="43"/>
        <v>0.36449999999999994</v>
      </c>
      <c r="BE9" s="2">
        <f t="shared" si="44"/>
        <v>0</v>
      </c>
      <c r="BF9" s="2">
        <f t="shared" si="45"/>
        <v>0</v>
      </c>
      <c r="BG9" s="2">
        <f t="shared" si="46"/>
        <v>0</v>
      </c>
      <c r="BH9" s="2">
        <f t="shared" si="47"/>
        <v>0</v>
      </c>
      <c r="BI9" s="2">
        <f t="shared" si="48"/>
        <v>0</v>
      </c>
      <c r="BJ9" s="2">
        <f t="shared" si="49"/>
        <v>0</v>
      </c>
      <c r="BK9" s="2">
        <f t="shared" si="50"/>
        <v>0</v>
      </c>
      <c r="BL9" s="2">
        <f t="shared" si="51"/>
        <v>0</v>
      </c>
      <c r="BM9" s="2">
        <f t="shared" si="52"/>
        <v>3.2805</v>
      </c>
      <c r="BN9" s="2">
        <f t="shared" si="53"/>
        <v>4.05</v>
      </c>
      <c r="BO9" s="2">
        <f t="shared" si="54"/>
        <v>5</v>
      </c>
    </row>
    <row r="10" spans="1:67" x14ac:dyDescent="0.15">
      <c r="C10">
        <v>4</v>
      </c>
      <c r="D10" s="2" t="s">
        <v>10</v>
      </c>
      <c r="E10" s="2" t="str">
        <f t="shared" si="4"/>
        <v>&lt;</v>
      </c>
      <c r="F10" s="2" t="str">
        <f t="shared" si="5"/>
        <v>&lt;</v>
      </c>
      <c r="G10" s="2" t="str">
        <f t="shared" si="6"/>
        <v>&lt;</v>
      </c>
      <c r="H10" s="2" t="str">
        <f t="shared" si="7"/>
        <v>?</v>
      </c>
      <c r="I10" s="2" t="str">
        <f t="shared" si="8"/>
        <v>?</v>
      </c>
      <c r="J10" s="2" t="str">
        <f t="shared" si="9"/>
        <v>?</v>
      </c>
      <c r="K10" s="2" t="str">
        <f t="shared" si="10"/>
        <v>?</v>
      </c>
      <c r="L10" s="2" t="str">
        <f t="shared" si="11"/>
        <v>?</v>
      </c>
      <c r="M10" s="2" t="str">
        <f t="shared" si="12"/>
        <v>?</v>
      </c>
      <c r="N10" s="2" t="str">
        <f t="shared" si="13"/>
        <v>&gt;</v>
      </c>
      <c r="O10" s="2" t="str">
        <f t="shared" si="14"/>
        <v>&gt;</v>
      </c>
      <c r="P10" s="2" t="str">
        <f t="shared" si="15"/>
        <v>&gt;</v>
      </c>
      <c r="Q10" s="2" t="s">
        <v>10</v>
      </c>
      <c r="R10" s="6"/>
      <c r="S10" s="6"/>
      <c r="T10" s="6"/>
      <c r="U10" s="6"/>
      <c r="W10" s="2">
        <f>MAX(AM10,BB10)</f>
        <v>5</v>
      </c>
      <c r="X10" s="2">
        <f t="shared" si="16"/>
        <v>4.3452450000000002</v>
      </c>
      <c r="Y10" s="2">
        <f t="shared" si="17"/>
        <v>3.2805</v>
      </c>
      <c r="Z10" s="2">
        <f t="shared" si="18"/>
        <v>2.6572050000000003</v>
      </c>
      <c r="AA10" s="2">
        <f t="shared" si="19"/>
        <v>0</v>
      </c>
      <c r="AB10" s="2">
        <f t="shared" si="20"/>
        <v>0</v>
      </c>
      <c r="AC10" s="2">
        <f t="shared" si="21"/>
        <v>0</v>
      </c>
      <c r="AD10" s="2">
        <f t="shared" si="22"/>
        <v>0</v>
      </c>
      <c r="AE10" s="2">
        <f t="shared" si="23"/>
        <v>0</v>
      </c>
      <c r="AF10" s="2">
        <f t="shared" si="24"/>
        <v>0</v>
      </c>
      <c r="AG10" s="2">
        <f t="shared" si="25"/>
        <v>2.6572050000000003</v>
      </c>
      <c r="AH10" s="2">
        <f t="shared" si="26"/>
        <v>3.2805</v>
      </c>
      <c r="AI10" s="2">
        <f t="shared" si="27"/>
        <v>4.3452450000000002</v>
      </c>
      <c r="AJ10" s="2">
        <f>MAX(AZ10,BO10)</f>
        <v>5</v>
      </c>
      <c r="AK10" s="6"/>
      <c r="AM10" s="2">
        <f t="shared" si="28"/>
        <v>5</v>
      </c>
      <c r="AN10" s="2">
        <f t="shared" si="29"/>
        <v>4.3452450000000002</v>
      </c>
      <c r="AO10" s="2">
        <f t="shared" si="30"/>
        <v>3.2805</v>
      </c>
      <c r="AP10" s="2">
        <f t="shared" si="31"/>
        <v>2.6572050000000003</v>
      </c>
      <c r="AQ10" s="2">
        <f t="shared" si="32"/>
        <v>0</v>
      </c>
      <c r="AR10" s="2">
        <f t="shared" si="33"/>
        <v>0</v>
      </c>
      <c r="AS10" s="2">
        <f t="shared" si="34"/>
        <v>0</v>
      </c>
      <c r="AT10" s="2">
        <f t="shared" si="35"/>
        <v>0</v>
      </c>
      <c r="AU10" s="2">
        <f t="shared" si="36"/>
        <v>0</v>
      </c>
      <c r="AV10" s="2">
        <f t="shared" si="37"/>
        <v>0</v>
      </c>
      <c r="AW10" s="2">
        <f t="shared" si="38"/>
        <v>0.29524499999999992</v>
      </c>
      <c r="AX10" s="2">
        <f t="shared" si="39"/>
        <v>0.36449999999999994</v>
      </c>
      <c r="AY10" s="2">
        <f t="shared" si="40"/>
        <v>3.1072050000000004</v>
      </c>
      <c r="AZ10" s="2">
        <f t="shared" si="41"/>
        <v>0</v>
      </c>
      <c r="BB10" s="2">
        <v>0</v>
      </c>
      <c r="BC10" s="2">
        <f t="shared" si="42"/>
        <v>3.1072050000000004</v>
      </c>
      <c r="BD10" s="2">
        <f t="shared" si="43"/>
        <v>0.36449999999999994</v>
      </c>
      <c r="BE10" s="2">
        <f t="shared" si="44"/>
        <v>0.29524499999999992</v>
      </c>
      <c r="BF10" s="2">
        <f t="shared" si="45"/>
        <v>0</v>
      </c>
      <c r="BG10" s="2">
        <f t="shared" si="46"/>
        <v>0</v>
      </c>
      <c r="BH10" s="2">
        <f t="shared" si="47"/>
        <v>0</v>
      </c>
      <c r="BI10" s="2">
        <f t="shared" si="48"/>
        <v>0</v>
      </c>
      <c r="BJ10" s="2">
        <f t="shared" si="49"/>
        <v>0</v>
      </c>
      <c r="BK10" s="2">
        <f t="shared" si="50"/>
        <v>0</v>
      </c>
      <c r="BL10" s="2">
        <f t="shared" si="51"/>
        <v>2.6572050000000003</v>
      </c>
      <c r="BM10" s="2">
        <f t="shared" si="52"/>
        <v>3.2805</v>
      </c>
      <c r="BN10" s="2">
        <f t="shared" si="53"/>
        <v>4.3452450000000002</v>
      </c>
      <c r="BO10" s="2">
        <f t="shared" si="54"/>
        <v>5</v>
      </c>
    </row>
    <row r="11" spans="1:67" x14ac:dyDescent="0.15">
      <c r="C11">
        <v>5</v>
      </c>
      <c r="D11" s="2" t="s">
        <v>10</v>
      </c>
      <c r="E11" s="2" t="str">
        <f t="shared" si="4"/>
        <v>&lt;</v>
      </c>
      <c r="F11" s="2" t="str">
        <f t="shared" si="5"/>
        <v>&lt;</v>
      </c>
      <c r="G11" s="2" t="str">
        <f t="shared" si="6"/>
        <v>&lt;</v>
      </c>
      <c r="H11" s="2" t="str">
        <f t="shared" si="7"/>
        <v>&lt;</v>
      </c>
      <c r="I11" s="2" t="str">
        <f t="shared" si="8"/>
        <v>?</v>
      </c>
      <c r="J11" s="2" t="str">
        <f t="shared" si="9"/>
        <v>?</v>
      </c>
      <c r="K11" s="2" t="str">
        <f t="shared" si="10"/>
        <v>?</v>
      </c>
      <c r="L11" s="2" t="str">
        <f t="shared" si="11"/>
        <v>?</v>
      </c>
      <c r="M11" s="2" t="str">
        <f t="shared" si="12"/>
        <v>&gt;</v>
      </c>
      <c r="N11" s="2" t="str">
        <f t="shared" si="13"/>
        <v>&gt;</v>
      </c>
      <c r="O11" s="2" t="str">
        <f t="shared" si="14"/>
        <v>&gt;</v>
      </c>
      <c r="P11" s="2" t="str">
        <f t="shared" si="15"/>
        <v>&gt;</v>
      </c>
      <c r="Q11" s="2" t="s">
        <v>10</v>
      </c>
      <c r="R11" s="6"/>
      <c r="S11" s="6"/>
      <c r="T11" s="6"/>
      <c r="U11" s="6"/>
      <c r="W11" s="2">
        <f>MAX(AM11,BB11)</f>
        <v>5</v>
      </c>
      <c r="X11" s="2">
        <f t="shared" si="16"/>
        <v>4.3452450000000002</v>
      </c>
      <c r="Y11" s="2">
        <f t="shared" si="17"/>
        <v>3.7587969000000006</v>
      </c>
      <c r="Z11" s="2">
        <f t="shared" si="18"/>
        <v>2.6572050000000003</v>
      </c>
      <c r="AA11" s="2">
        <f t="shared" si="19"/>
        <v>2.1523360500000002</v>
      </c>
      <c r="AB11" s="2">
        <f t="shared" si="20"/>
        <v>0</v>
      </c>
      <c r="AC11" s="2">
        <f t="shared" si="21"/>
        <v>0</v>
      </c>
      <c r="AD11" s="2">
        <f t="shared" si="22"/>
        <v>0</v>
      </c>
      <c r="AE11" s="2">
        <f t="shared" si="23"/>
        <v>0</v>
      </c>
      <c r="AF11" s="2">
        <f t="shared" si="24"/>
        <v>2.1523360500000002</v>
      </c>
      <c r="AG11" s="2">
        <f t="shared" si="25"/>
        <v>2.6572050000000003</v>
      </c>
      <c r="AH11" s="2">
        <f t="shared" si="26"/>
        <v>3.7587969000000006</v>
      </c>
      <c r="AI11" s="2">
        <f t="shared" si="27"/>
        <v>4.3452450000000002</v>
      </c>
      <c r="AJ11" s="2">
        <f>MAX(AZ11,BO11)</f>
        <v>5</v>
      </c>
      <c r="AK11" s="6"/>
      <c r="AM11" s="2">
        <f t="shared" si="28"/>
        <v>5</v>
      </c>
      <c r="AN11" s="2">
        <f t="shared" si="29"/>
        <v>4.3452450000000002</v>
      </c>
      <c r="AO11" s="2">
        <f t="shared" si="30"/>
        <v>3.7587969000000006</v>
      </c>
      <c r="AP11" s="2">
        <f t="shared" si="31"/>
        <v>2.6572050000000003</v>
      </c>
      <c r="AQ11" s="2">
        <f t="shared" si="32"/>
        <v>2.1523360500000002</v>
      </c>
      <c r="AR11" s="2">
        <f t="shared" si="33"/>
        <v>0</v>
      </c>
      <c r="AS11" s="2">
        <f t="shared" si="34"/>
        <v>0</v>
      </c>
      <c r="AT11" s="2">
        <f t="shared" si="35"/>
        <v>0</v>
      </c>
      <c r="AU11" s="2">
        <f t="shared" si="36"/>
        <v>0</v>
      </c>
      <c r="AV11" s="2">
        <f t="shared" si="37"/>
        <v>0.23914844999999998</v>
      </c>
      <c r="AW11" s="2">
        <f t="shared" si="38"/>
        <v>0.29524499999999992</v>
      </c>
      <c r="AX11" s="2">
        <f t="shared" si="39"/>
        <v>2.5434081000000002</v>
      </c>
      <c r="AY11" s="2">
        <f t="shared" si="40"/>
        <v>3.1072050000000004</v>
      </c>
      <c r="AZ11" s="2">
        <f t="shared" si="41"/>
        <v>0</v>
      </c>
      <c r="BB11" s="2">
        <v>0</v>
      </c>
      <c r="BC11" s="2">
        <f t="shared" si="42"/>
        <v>3.1072050000000004</v>
      </c>
      <c r="BD11" s="2">
        <f t="shared" si="43"/>
        <v>2.5434081000000002</v>
      </c>
      <c r="BE11" s="2">
        <f t="shared" si="44"/>
        <v>0.29524499999999992</v>
      </c>
      <c r="BF11" s="2">
        <f t="shared" si="45"/>
        <v>0.23914844999999998</v>
      </c>
      <c r="BG11" s="2">
        <f t="shared" si="46"/>
        <v>0</v>
      </c>
      <c r="BH11" s="2">
        <f t="shared" si="47"/>
        <v>0</v>
      </c>
      <c r="BI11" s="2">
        <f t="shared" si="48"/>
        <v>0</v>
      </c>
      <c r="BJ11" s="2">
        <f t="shared" si="49"/>
        <v>0</v>
      </c>
      <c r="BK11" s="2">
        <f t="shared" si="50"/>
        <v>2.1523360500000002</v>
      </c>
      <c r="BL11" s="2">
        <f t="shared" si="51"/>
        <v>2.6572050000000003</v>
      </c>
      <c r="BM11" s="2">
        <f t="shared" si="52"/>
        <v>3.7587969000000006</v>
      </c>
      <c r="BN11" s="2">
        <f t="shared" si="53"/>
        <v>4.3452450000000002</v>
      </c>
      <c r="BO11" s="2">
        <f t="shared" si="54"/>
        <v>5</v>
      </c>
    </row>
    <row r="12" spans="1:67" x14ac:dyDescent="0.15">
      <c r="C12">
        <v>6</v>
      </c>
      <c r="D12" s="2" t="s">
        <v>10</v>
      </c>
      <c r="E12" s="2" t="str">
        <f t="shared" si="4"/>
        <v>&lt;</v>
      </c>
      <c r="F12" s="2" t="str">
        <f t="shared" si="5"/>
        <v>&lt;</v>
      </c>
      <c r="G12" s="2" t="str">
        <f t="shared" si="6"/>
        <v>&lt;</v>
      </c>
      <c r="H12" s="2" t="str">
        <f t="shared" si="7"/>
        <v>&lt;</v>
      </c>
      <c r="I12" s="2" t="str">
        <f t="shared" si="8"/>
        <v>&lt;</v>
      </c>
      <c r="J12" s="2" t="str">
        <f t="shared" si="9"/>
        <v>?</v>
      </c>
      <c r="K12" s="2" t="str">
        <f t="shared" si="10"/>
        <v>?</v>
      </c>
      <c r="L12" s="2" t="str">
        <f t="shared" si="11"/>
        <v>&gt;</v>
      </c>
      <c r="M12" s="2" t="str">
        <f t="shared" si="12"/>
        <v>&gt;</v>
      </c>
      <c r="N12" s="2" t="str">
        <f t="shared" si="13"/>
        <v>&gt;</v>
      </c>
      <c r="O12" s="2" t="str">
        <f t="shared" si="14"/>
        <v>&gt;</v>
      </c>
      <c r="P12" s="2" t="str">
        <f t="shared" si="15"/>
        <v>&gt;</v>
      </c>
      <c r="Q12" s="2" t="s">
        <v>10</v>
      </c>
      <c r="R12" s="6"/>
      <c r="S12" s="6"/>
      <c r="T12" s="6"/>
      <c r="U12" s="6"/>
      <c r="W12" s="2">
        <f>MAX(AM12,BB12)</f>
        <v>5</v>
      </c>
      <c r="X12" s="2">
        <f t="shared" si="16"/>
        <v>4.3882917209999999</v>
      </c>
      <c r="Y12" s="2">
        <f t="shared" si="17"/>
        <v>3.7587969000000006</v>
      </c>
      <c r="Z12" s="2">
        <f t="shared" si="18"/>
        <v>3.2383357335000005</v>
      </c>
      <c r="AA12" s="2">
        <f t="shared" si="19"/>
        <v>2.1523360500000002</v>
      </c>
      <c r="AB12" s="2">
        <f t="shared" si="20"/>
        <v>1.7433922005000002</v>
      </c>
      <c r="AC12" s="2">
        <f t="shared" si="21"/>
        <v>0</v>
      </c>
      <c r="AD12" s="2">
        <f t="shared" si="22"/>
        <v>0</v>
      </c>
      <c r="AE12" s="2">
        <f t="shared" si="23"/>
        <v>1.7433922005000002</v>
      </c>
      <c r="AF12" s="2">
        <f t="shared" si="24"/>
        <v>2.1523360500000002</v>
      </c>
      <c r="AG12" s="2">
        <f t="shared" si="25"/>
        <v>3.2383357335000005</v>
      </c>
      <c r="AH12" s="2">
        <f t="shared" si="26"/>
        <v>3.7587969000000006</v>
      </c>
      <c r="AI12" s="2">
        <f t="shared" si="27"/>
        <v>4.3882917209999999</v>
      </c>
      <c r="AJ12" s="2">
        <f>MAX(AZ12,BO12)</f>
        <v>5</v>
      </c>
      <c r="AK12" s="6"/>
      <c r="AM12" s="2">
        <f t="shared" si="28"/>
        <v>5</v>
      </c>
      <c r="AN12" s="2">
        <f t="shared" si="29"/>
        <v>4.3882917209999999</v>
      </c>
      <c r="AO12" s="2">
        <f t="shared" si="30"/>
        <v>3.7587969000000006</v>
      </c>
      <c r="AP12" s="2">
        <f t="shared" si="31"/>
        <v>3.2383357335000005</v>
      </c>
      <c r="AQ12" s="2">
        <f t="shared" si="32"/>
        <v>2.1523360500000002</v>
      </c>
      <c r="AR12" s="2">
        <f t="shared" si="33"/>
        <v>1.7433922005000002</v>
      </c>
      <c r="AS12" s="2">
        <f t="shared" si="34"/>
        <v>0</v>
      </c>
      <c r="AT12" s="2">
        <f t="shared" si="35"/>
        <v>0</v>
      </c>
      <c r="AU12" s="2">
        <f t="shared" si="36"/>
        <v>0.19371024449999996</v>
      </c>
      <c r="AV12" s="2">
        <f t="shared" si="37"/>
        <v>0.23914844999999998</v>
      </c>
      <c r="AW12" s="2">
        <f t="shared" si="38"/>
        <v>2.0816839215000003</v>
      </c>
      <c r="AX12" s="2">
        <f t="shared" si="39"/>
        <v>2.5434081000000002</v>
      </c>
      <c r="AY12" s="2">
        <f t="shared" si="40"/>
        <v>3.4946254890000006</v>
      </c>
      <c r="AZ12" s="2">
        <f t="shared" si="41"/>
        <v>0</v>
      </c>
      <c r="BB12" s="2">
        <v>0</v>
      </c>
      <c r="BC12" s="2">
        <f t="shared" si="42"/>
        <v>3.4946254890000006</v>
      </c>
      <c r="BD12" s="2">
        <f t="shared" si="43"/>
        <v>2.5434081000000002</v>
      </c>
      <c r="BE12" s="2">
        <f t="shared" si="44"/>
        <v>2.0816839215000003</v>
      </c>
      <c r="BF12" s="2">
        <f t="shared" si="45"/>
        <v>0.23914844999999998</v>
      </c>
      <c r="BG12" s="2">
        <f t="shared" si="46"/>
        <v>0.19371024449999996</v>
      </c>
      <c r="BH12" s="2">
        <f t="shared" si="47"/>
        <v>0</v>
      </c>
      <c r="BI12" s="2">
        <f t="shared" si="48"/>
        <v>0</v>
      </c>
      <c r="BJ12" s="2">
        <f t="shared" si="49"/>
        <v>1.7433922005000002</v>
      </c>
      <c r="BK12" s="2">
        <f t="shared" si="50"/>
        <v>2.1523360500000002</v>
      </c>
      <c r="BL12" s="2">
        <f t="shared" si="51"/>
        <v>3.2383357335000005</v>
      </c>
      <c r="BM12" s="2">
        <f t="shared" si="52"/>
        <v>3.7587969000000006</v>
      </c>
      <c r="BN12" s="2">
        <f t="shared" si="53"/>
        <v>4.3882917209999999</v>
      </c>
      <c r="BO12" s="2">
        <f t="shared" si="54"/>
        <v>5</v>
      </c>
    </row>
    <row r="13" spans="1:67" x14ac:dyDescent="0.15">
      <c r="C13">
        <v>7</v>
      </c>
      <c r="D13" s="2" t="s">
        <v>10</v>
      </c>
      <c r="E13" s="2" t="str">
        <f t="shared" si="4"/>
        <v>&lt;</v>
      </c>
      <c r="F13" s="2" t="str">
        <f t="shared" si="5"/>
        <v>&lt;</v>
      </c>
      <c r="G13" s="2" t="str">
        <f t="shared" si="6"/>
        <v>&lt;</v>
      </c>
      <c r="H13" s="2" t="str">
        <f t="shared" si="7"/>
        <v>&lt;</v>
      </c>
      <c r="I13" s="2" t="str">
        <f t="shared" si="8"/>
        <v>&lt;</v>
      </c>
      <c r="J13" s="2" t="str">
        <f t="shared" si="9"/>
        <v>&lt;</v>
      </c>
      <c r="K13" s="2" t="str">
        <f t="shared" si="10"/>
        <v>&gt;</v>
      </c>
      <c r="L13" s="2" t="str">
        <f t="shared" si="11"/>
        <v>&gt;</v>
      </c>
      <c r="M13" s="2" t="str">
        <f t="shared" si="12"/>
        <v>&gt;</v>
      </c>
      <c r="N13" s="2" t="str">
        <f t="shared" si="13"/>
        <v>&gt;</v>
      </c>
      <c r="O13" s="2" t="str">
        <f t="shared" si="14"/>
        <v>&gt;</v>
      </c>
      <c r="P13" s="2" t="str">
        <f t="shared" si="15"/>
        <v>&gt;</v>
      </c>
      <c r="Q13" s="2" t="s">
        <v>10</v>
      </c>
      <c r="R13" s="6"/>
      <c r="S13" s="6"/>
      <c r="T13" s="6"/>
      <c r="U13" s="6"/>
      <c r="W13" s="2">
        <f>MAX(AM13,BB13)</f>
        <v>5</v>
      </c>
      <c r="X13" s="2">
        <f t="shared" si="16"/>
        <v>4.3882917209999999</v>
      </c>
      <c r="Y13" s="2">
        <f t="shared" si="17"/>
        <v>3.8459665100250007</v>
      </c>
      <c r="Z13" s="2">
        <f t="shared" si="18"/>
        <v>3.2383357335000005</v>
      </c>
      <c r="AA13" s="2">
        <f t="shared" si="19"/>
        <v>2.7799572421800005</v>
      </c>
      <c r="AB13" s="2">
        <f t="shared" si="20"/>
        <v>1.7433922005000002</v>
      </c>
      <c r="AC13" s="2">
        <f t="shared" si="21"/>
        <v>1.4121476824050001</v>
      </c>
      <c r="AD13" s="2">
        <f t="shared" si="22"/>
        <v>1.4121476824050001</v>
      </c>
      <c r="AE13" s="2">
        <f t="shared" si="23"/>
        <v>1.7433922005000002</v>
      </c>
      <c r="AF13" s="2">
        <f t="shared" si="24"/>
        <v>2.7799572421800005</v>
      </c>
      <c r="AG13" s="2">
        <f t="shared" si="25"/>
        <v>3.2383357335000005</v>
      </c>
      <c r="AH13" s="2">
        <f t="shared" si="26"/>
        <v>3.8459665100250007</v>
      </c>
      <c r="AI13" s="2">
        <f t="shared" si="27"/>
        <v>4.3882917209999999</v>
      </c>
      <c r="AJ13" s="2">
        <f>MAX(AZ13,BO13)</f>
        <v>5</v>
      </c>
      <c r="AK13" s="6"/>
      <c r="AM13" s="2">
        <f t="shared" si="28"/>
        <v>5</v>
      </c>
      <c r="AN13" s="2">
        <f t="shared" si="29"/>
        <v>4.3882917209999999</v>
      </c>
      <c r="AO13" s="2">
        <f t="shared" si="30"/>
        <v>3.8459665100250007</v>
      </c>
      <c r="AP13" s="2">
        <f t="shared" si="31"/>
        <v>3.2383357335000005</v>
      </c>
      <c r="AQ13" s="2">
        <f t="shared" si="32"/>
        <v>2.7799572421800005</v>
      </c>
      <c r="AR13" s="2">
        <f t="shared" si="33"/>
        <v>1.7433922005000002</v>
      </c>
      <c r="AS13" s="2">
        <f t="shared" si="34"/>
        <v>1.4121476824050001</v>
      </c>
      <c r="AT13" s="2">
        <f t="shared" si="35"/>
        <v>0.156905298045</v>
      </c>
      <c r="AU13" s="2">
        <f t="shared" si="36"/>
        <v>0.19371024449999996</v>
      </c>
      <c r="AV13" s="2">
        <f t="shared" si="37"/>
        <v>1.7035978984200002</v>
      </c>
      <c r="AW13" s="2">
        <f t="shared" si="38"/>
        <v>2.0816839215000003</v>
      </c>
      <c r="AX13" s="2">
        <f t="shared" si="39"/>
        <v>3.0179981990250004</v>
      </c>
      <c r="AY13" s="2">
        <f t="shared" si="40"/>
        <v>3.4946254890000006</v>
      </c>
      <c r="AZ13" s="2">
        <f t="shared" si="41"/>
        <v>0</v>
      </c>
      <c r="BB13" s="2">
        <v>0</v>
      </c>
      <c r="BC13" s="2">
        <f t="shared" si="42"/>
        <v>3.4946254890000006</v>
      </c>
      <c r="BD13" s="2">
        <f t="shared" si="43"/>
        <v>3.0179981990250004</v>
      </c>
      <c r="BE13" s="2">
        <f t="shared" si="44"/>
        <v>2.0816839215000003</v>
      </c>
      <c r="BF13" s="2">
        <f t="shared" si="45"/>
        <v>1.7035978984200002</v>
      </c>
      <c r="BG13" s="2">
        <f t="shared" si="46"/>
        <v>0.19371024449999996</v>
      </c>
      <c r="BH13" s="2">
        <f t="shared" si="47"/>
        <v>0.156905298045</v>
      </c>
      <c r="BI13" s="2">
        <f t="shared" si="48"/>
        <v>1.4121476824050001</v>
      </c>
      <c r="BJ13" s="2">
        <f t="shared" si="49"/>
        <v>1.7433922005000002</v>
      </c>
      <c r="BK13" s="2">
        <f t="shared" si="50"/>
        <v>2.7799572421800005</v>
      </c>
      <c r="BL13" s="2">
        <f t="shared" si="51"/>
        <v>3.2383357335000005</v>
      </c>
      <c r="BM13" s="2">
        <f t="shared" si="52"/>
        <v>3.8459665100250007</v>
      </c>
      <c r="BN13" s="2">
        <f t="shared" si="53"/>
        <v>4.3882917209999999</v>
      </c>
      <c r="BO13" s="2">
        <f t="shared" si="54"/>
        <v>5</v>
      </c>
    </row>
    <row r="14" spans="1:67" x14ac:dyDescent="0.15">
      <c r="C14">
        <v>8</v>
      </c>
      <c r="D14" s="2" t="s">
        <v>10</v>
      </c>
      <c r="E14" s="2" t="str">
        <f t="shared" si="4"/>
        <v>&lt;</v>
      </c>
      <c r="F14" s="2" t="str">
        <f t="shared" si="5"/>
        <v>&lt;</v>
      </c>
      <c r="G14" s="2" t="str">
        <f t="shared" si="6"/>
        <v>&lt;</v>
      </c>
      <c r="H14" s="2" t="str">
        <f t="shared" si="7"/>
        <v>&lt;</v>
      </c>
      <c r="I14" s="2" t="str">
        <f t="shared" si="8"/>
        <v>&lt;</v>
      </c>
      <c r="J14" s="2" t="str">
        <f t="shared" si="9"/>
        <v>&lt;</v>
      </c>
      <c r="K14" s="2" t="str">
        <f t="shared" si="10"/>
        <v>&gt;</v>
      </c>
      <c r="L14" s="2" t="str">
        <f t="shared" si="11"/>
        <v>&gt;</v>
      </c>
      <c r="M14" s="2" t="str">
        <f t="shared" si="12"/>
        <v>&gt;</v>
      </c>
      <c r="N14" s="2" t="str">
        <f t="shared" si="13"/>
        <v>&gt;</v>
      </c>
      <c r="O14" s="2" t="str">
        <f t="shared" si="14"/>
        <v>&gt;</v>
      </c>
      <c r="P14" s="2" t="str">
        <f t="shared" si="15"/>
        <v>&gt;</v>
      </c>
      <c r="Q14" s="2" t="s">
        <v>10</v>
      </c>
      <c r="R14" s="6"/>
      <c r="S14" s="6"/>
      <c r="T14" s="6"/>
      <c r="U14" s="6"/>
      <c r="W14" s="2">
        <f>MAX(AM14,BB14)</f>
        <v>5</v>
      </c>
      <c r="X14" s="2">
        <f t="shared" si="16"/>
        <v>4.3961369859022499</v>
      </c>
      <c r="Y14" s="2">
        <f t="shared" si="17"/>
        <v>3.8459665100250007</v>
      </c>
      <c r="Z14" s="2">
        <f t="shared" si="18"/>
        <v>3.3654290249164505</v>
      </c>
      <c r="AA14" s="2">
        <f t="shared" si="19"/>
        <v>2.7799572421800005</v>
      </c>
      <c r="AB14" s="2">
        <f t="shared" si="20"/>
        <v>2.3788586575822506</v>
      </c>
      <c r="AC14" s="2">
        <f t="shared" si="21"/>
        <v>1.5392409738214503</v>
      </c>
      <c r="AD14" s="2">
        <f t="shared" si="22"/>
        <v>1.5392409738214503</v>
      </c>
      <c r="AE14" s="2">
        <f t="shared" si="23"/>
        <v>2.3788586575822506</v>
      </c>
      <c r="AF14" s="2">
        <f t="shared" si="24"/>
        <v>2.7799572421800005</v>
      </c>
      <c r="AG14" s="2">
        <f t="shared" si="25"/>
        <v>3.3654290249164505</v>
      </c>
      <c r="AH14" s="2">
        <f t="shared" si="26"/>
        <v>3.8459665100250007</v>
      </c>
      <c r="AI14" s="2">
        <f t="shared" si="27"/>
        <v>4.3961369859022499</v>
      </c>
      <c r="AJ14" s="2">
        <f>MAX(AZ14,BO14)</f>
        <v>5</v>
      </c>
      <c r="AK14" s="6"/>
      <c r="AM14" s="2">
        <f t="shared" si="28"/>
        <v>5</v>
      </c>
      <c r="AN14" s="2">
        <f t="shared" si="29"/>
        <v>4.3961369859022499</v>
      </c>
      <c r="AO14" s="2">
        <f t="shared" si="30"/>
        <v>3.8459665100250007</v>
      </c>
      <c r="AP14" s="2">
        <f t="shared" si="31"/>
        <v>3.3654290249164505</v>
      </c>
      <c r="AQ14" s="2">
        <f t="shared" si="32"/>
        <v>2.7799572421800005</v>
      </c>
      <c r="AR14" s="2">
        <f t="shared" si="33"/>
        <v>2.3788586575822506</v>
      </c>
      <c r="AS14" s="2">
        <f t="shared" si="34"/>
        <v>1.5392409738214503</v>
      </c>
      <c r="AT14" s="2">
        <f t="shared" si="35"/>
        <v>1.3007449207930502</v>
      </c>
      <c r="AU14" s="2">
        <f t="shared" si="36"/>
        <v>1.39403577454425</v>
      </c>
      <c r="AV14" s="2">
        <f t="shared" si="37"/>
        <v>1.7035978984200002</v>
      </c>
      <c r="AW14" s="2">
        <f t="shared" si="38"/>
        <v>2.5979023520680506</v>
      </c>
      <c r="AX14" s="2">
        <f t="shared" si="39"/>
        <v>3.0179981990250004</v>
      </c>
      <c r="AY14" s="2">
        <f t="shared" si="40"/>
        <v>3.5652328731202507</v>
      </c>
      <c r="AZ14" s="2">
        <f t="shared" si="41"/>
        <v>0</v>
      </c>
      <c r="BB14" s="2">
        <v>0</v>
      </c>
      <c r="BC14" s="2">
        <f t="shared" si="42"/>
        <v>3.5652328731202507</v>
      </c>
      <c r="BD14" s="2">
        <f t="shared" si="43"/>
        <v>3.0179981990250004</v>
      </c>
      <c r="BE14" s="2">
        <f t="shared" si="44"/>
        <v>2.5979023520680506</v>
      </c>
      <c r="BF14" s="2">
        <f t="shared" si="45"/>
        <v>1.7035978984200002</v>
      </c>
      <c r="BG14" s="2">
        <f t="shared" si="46"/>
        <v>1.39403577454425</v>
      </c>
      <c r="BH14" s="2">
        <f t="shared" si="47"/>
        <v>1.3007449207930502</v>
      </c>
      <c r="BI14" s="2">
        <f t="shared" si="48"/>
        <v>1.5392409738214503</v>
      </c>
      <c r="BJ14" s="2">
        <f t="shared" si="49"/>
        <v>2.3788586575822506</v>
      </c>
      <c r="BK14" s="2">
        <f t="shared" si="50"/>
        <v>2.7799572421800005</v>
      </c>
      <c r="BL14" s="2">
        <f t="shared" si="51"/>
        <v>3.3654290249164505</v>
      </c>
      <c r="BM14" s="2">
        <f t="shared" si="52"/>
        <v>3.8459665100250007</v>
      </c>
      <c r="BN14" s="2">
        <f t="shared" si="53"/>
        <v>4.3961369859022499</v>
      </c>
      <c r="BO14" s="2">
        <f t="shared" si="54"/>
        <v>5</v>
      </c>
    </row>
    <row r="15" spans="1:67" x14ac:dyDescent="0.15">
      <c r="C15">
        <v>9</v>
      </c>
      <c r="D15" s="2" t="s">
        <v>10</v>
      </c>
      <c r="E15" s="2" t="str">
        <f t="shared" si="4"/>
        <v>&lt;</v>
      </c>
      <c r="F15" s="2" t="str">
        <f t="shared" si="5"/>
        <v>&lt;</v>
      </c>
      <c r="G15" s="2" t="str">
        <f t="shared" si="6"/>
        <v>&lt;</v>
      </c>
      <c r="H15" s="2" t="str">
        <f t="shared" si="7"/>
        <v>&lt;</v>
      </c>
      <c r="I15" s="2" t="str">
        <f t="shared" si="8"/>
        <v>&lt;</v>
      </c>
      <c r="J15" s="2" t="str">
        <f t="shared" si="9"/>
        <v>&lt;</v>
      </c>
      <c r="K15" s="2" t="str">
        <f t="shared" si="10"/>
        <v>&gt;</v>
      </c>
      <c r="L15" s="2" t="str">
        <f t="shared" si="11"/>
        <v>&gt;</v>
      </c>
      <c r="M15" s="2" t="str">
        <f t="shared" si="12"/>
        <v>&gt;</v>
      </c>
      <c r="N15" s="2" t="str">
        <f t="shared" si="13"/>
        <v>&gt;</v>
      </c>
      <c r="O15" s="2" t="str">
        <f t="shared" si="14"/>
        <v>&gt;</v>
      </c>
      <c r="P15" s="2" t="str">
        <f t="shared" si="15"/>
        <v>&gt;</v>
      </c>
      <c r="Q15" s="2" t="s">
        <v>10</v>
      </c>
      <c r="R15" s="6"/>
      <c r="S15" s="6"/>
      <c r="T15" s="6"/>
      <c r="U15" s="6"/>
      <c r="W15" s="2">
        <f>MAX(AM15,BB15)</f>
        <v>5</v>
      </c>
      <c r="X15" s="2">
        <f t="shared" si="16"/>
        <v>4.3961369859022499</v>
      </c>
      <c r="Y15" s="2">
        <f t="shared" si="17"/>
        <v>3.8637595708233032</v>
      </c>
      <c r="Z15" s="2">
        <f t="shared" si="18"/>
        <v>3.3654290249164505</v>
      </c>
      <c r="AA15" s="2">
        <f t="shared" si="19"/>
        <v>2.9400947893647276</v>
      </c>
      <c r="AB15" s="2">
        <f t="shared" si="20"/>
        <v>2.3902970538097308</v>
      </c>
      <c r="AC15" s="2">
        <f t="shared" si="21"/>
        <v>2.0654072002855535</v>
      </c>
      <c r="AD15" s="2">
        <f t="shared" si="22"/>
        <v>2.0654072002855535</v>
      </c>
      <c r="AE15" s="2">
        <f t="shared" si="23"/>
        <v>2.3902970538097308</v>
      </c>
      <c r="AF15" s="2">
        <f t="shared" si="24"/>
        <v>2.9400947893647276</v>
      </c>
      <c r="AG15" s="2">
        <f t="shared" si="25"/>
        <v>3.3654290249164505</v>
      </c>
      <c r="AH15" s="2">
        <f t="shared" si="26"/>
        <v>3.8637595708233032</v>
      </c>
      <c r="AI15" s="2">
        <f t="shared" si="27"/>
        <v>4.3961369859022499</v>
      </c>
      <c r="AJ15" s="2">
        <f>MAX(AZ15,BO15)</f>
        <v>5</v>
      </c>
      <c r="AK15" s="6"/>
      <c r="AM15" s="2">
        <f t="shared" si="28"/>
        <v>5</v>
      </c>
      <c r="AN15" s="2">
        <f t="shared" si="29"/>
        <v>4.3961369859022499</v>
      </c>
      <c r="AO15" s="2">
        <f t="shared" si="30"/>
        <v>3.8637595708233032</v>
      </c>
      <c r="AP15" s="2">
        <f t="shared" si="31"/>
        <v>3.3654290249164505</v>
      </c>
      <c r="AQ15" s="2">
        <f t="shared" si="32"/>
        <v>2.9400947893647276</v>
      </c>
      <c r="AR15" s="2">
        <f t="shared" si="33"/>
        <v>2.3902970538097308</v>
      </c>
      <c r="AS15" s="2">
        <f t="shared" si="34"/>
        <v>2.0654072002855535</v>
      </c>
      <c r="AT15" s="2">
        <f t="shared" si="35"/>
        <v>1.4608824679777774</v>
      </c>
      <c r="AU15" s="2">
        <f t="shared" si="36"/>
        <v>1.4969813405915748</v>
      </c>
      <c r="AV15" s="2">
        <f t="shared" si="37"/>
        <v>2.2297641248841038</v>
      </c>
      <c r="AW15" s="2">
        <f t="shared" si="38"/>
        <v>2.5979023520680506</v>
      </c>
      <c r="AX15" s="2">
        <f t="shared" si="39"/>
        <v>3.1216498389135272</v>
      </c>
      <c r="AY15" s="2">
        <f t="shared" si="40"/>
        <v>3.5652328731202507</v>
      </c>
      <c r="AZ15" s="2">
        <f t="shared" si="41"/>
        <v>0</v>
      </c>
      <c r="BB15" s="2">
        <v>0</v>
      </c>
      <c r="BC15" s="2">
        <f t="shared" si="42"/>
        <v>3.5652328731202507</v>
      </c>
      <c r="BD15" s="2">
        <f t="shared" si="43"/>
        <v>3.1216498389135272</v>
      </c>
      <c r="BE15" s="2">
        <f t="shared" si="44"/>
        <v>2.5979023520680506</v>
      </c>
      <c r="BF15" s="2">
        <f t="shared" si="45"/>
        <v>2.2297641248841038</v>
      </c>
      <c r="BG15" s="2">
        <f t="shared" si="46"/>
        <v>1.4969813405915748</v>
      </c>
      <c r="BH15" s="2">
        <f t="shared" si="47"/>
        <v>1.4608824679777774</v>
      </c>
      <c r="BI15" s="2">
        <f t="shared" si="48"/>
        <v>2.0654072002855535</v>
      </c>
      <c r="BJ15" s="2">
        <f t="shared" si="49"/>
        <v>2.3902970538097308</v>
      </c>
      <c r="BK15" s="2">
        <f t="shared" si="50"/>
        <v>2.9400947893647276</v>
      </c>
      <c r="BL15" s="2">
        <f t="shared" si="51"/>
        <v>3.3654290249164505</v>
      </c>
      <c r="BM15" s="2">
        <f t="shared" si="52"/>
        <v>3.8637595708233032</v>
      </c>
      <c r="BN15" s="2">
        <f t="shared" si="53"/>
        <v>4.3961369859022499</v>
      </c>
      <c r="BO15" s="2">
        <f t="shared" si="54"/>
        <v>5</v>
      </c>
    </row>
    <row r="16" spans="1:67" x14ac:dyDescent="0.15">
      <c r="C16">
        <v>10</v>
      </c>
      <c r="D16" s="2" t="s">
        <v>10</v>
      </c>
      <c r="E16" s="2" t="str">
        <f t="shared" si="4"/>
        <v>&lt;</v>
      </c>
      <c r="F16" s="2" t="str">
        <f t="shared" si="5"/>
        <v>&lt;</v>
      </c>
      <c r="G16" s="2" t="str">
        <f t="shared" si="6"/>
        <v>&lt;</v>
      </c>
      <c r="H16" s="2" t="str">
        <f t="shared" si="7"/>
        <v>&lt;</v>
      </c>
      <c r="I16" s="2" t="str">
        <f t="shared" si="8"/>
        <v>&lt;</v>
      </c>
      <c r="J16" s="2" t="str">
        <f t="shared" si="9"/>
        <v>&lt;</v>
      </c>
      <c r="K16" s="2" t="str">
        <f t="shared" si="10"/>
        <v>&gt;</v>
      </c>
      <c r="L16" s="2" t="str">
        <f t="shared" si="11"/>
        <v>&gt;</v>
      </c>
      <c r="M16" s="2" t="str">
        <f t="shared" si="12"/>
        <v>&gt;</v>
      </c>
      <c r="N16" s="2" t="str">
        <f t="shared" si="13"/>
        <v>&gt;</v>
      </c>
      <c r="O16" s="2" t="str">
        <f t="shared" si="14"/>
        <v>&gt;</v>
      </c>
      <c r="P16" s="2" t="str">
        <f t="shared" si="15"/>
        <v>&gt;</v>
      </c>
      <c r="Q16" s="2" t="s">
        <v>10</v>
      </c>
      <c r="R16" s="6"/>
      <c r="S16" s="6"/>
      <c r="T16" s="6"/>
      <c r="U16" s="6"/>
      <c r="W16" s="2">
        <f>MAX(AM16,BB16)</f>
        <v>5</v>
      </c>
      <c r="X16" s="2">
        <f t="shared" si="16"/>
        <v>4.3977383613740972</v>
      </c>
      <c r="Y16" s="2">
        <f t="shared" si="17"/>
        <v>3.8637595708233032</v>
      </c>
      <c r="Z16" s="2">
        <f t="shared" si="18"/>
        <v>3.3942537834097011</v>
      </c>
      <c r="AA16" s="2">
        <f t="shared" si="19"/>
        <v>2.9411242450252009</v>
      </c>
      <c r="AB16" s="2">
        <f t="shared" si="20"/>
        <v>2.5673634274111294</v>
      </c>
      <c r="AC16" s="2">
        <f t="shared" si="21"/>
        <v>2.1220272616115818</v>
      </c>
      <c r="AD16" s="2">
        <f t="shared" si="22"/>
        <v>2.1220272616115818</v>
      </c>
      <c r="AE16" s="2">
        <f t="shared" si="23"/>
        <v>2.5673634274111294</v>
      </c>
      <c r="AF16" s="2">
        <f t="shared" si="24"/>
        <v>2.9411242450252009</v>
      </c>
      <c r="AG16" s="2">
        <f t="shared" si="25"/>
        <v>3.3942537834097011</v>
      </c>
      <c r="AH16" s="2">
        <f t="shared" si="26"/>
        <v>3.8637595708233032</v>
      </c>
      <c r="AI16" s="2">
        <f t="shared" si="27"/>
        <v>4.3977383613740972</v>
      </c>
      <c r="AJ16" s="2">
        <f>MAX(AZ16,BO16)</f>
        <v>5</v>
      </c>
      <c r="AK16" s="6"/>
      <c r="AM16" s="2">
        <f t="shared" si="28"/>
        <v>5</v>
      </c>
      <c r="AN16" s="2">
        <f t="shared" si="29"/>
        <v>4.3977383613740972</v>
      </c>
      <c r="AO16" s="2">
        <f t="shared" si="30"/>
        <v>3.8637595708233032</v>
      </c>
      <c r="AP16" s="2">
        <f t="shared" si="31"/>
        <v>3.3942537834097011</v>
      </c>
      <c r="AQ16" s="2">
        <f t="shared" si="32"/>
        <v>2.9411242450252009</v>
      </c>
      <c r="AR16" s="2">
        <f t="shared" si="33"/>
        <v>2.5673634274111294</v>
      </c>
      <c r="AS16" s="2">
        <f t="shared" si="34"/>
        <v>2.1220272616115818</v>
      </c>
      <c r="AT16" s="2">
        <f t="shared" si="35"/>
        <v>1.8881065670741741</v>
      </c>
      <c r="AU16" s="2">
        <f t="shared" si="36"/>
        <v>1.9375883632741238</v>
      </c>
      <c r="AV16" s="2">
        <f t="shared" si="37"/>
        <v>2.2390292258283626</v>
      </c>
      <c r="AW16" s="2">
        <f t="shared" si="38"/>
        <v>2.7292151407595266</v>
      </c>
      <c r="AX16" s="2">
        <f t="shared" si="39"/>
        <v>3.1216498389135272</v>
      </c>
      <c r="AY16" s="2">
        <f t="shared" si="40"/>
        <v>3.5796452523668756</v>
      </c>
      <c r="AZ16" s="2">
        <f t="shared" si="41"/>
        <v>0</v>
      </c>
      <c r="BB16" s="2">
        <v>0</v>
      </c>
      <c r="BC16" s="2">
        <f t="shared" si="42"/>
        <v>3.5796452523668756</v>
      </c>
      <c r="BD16" s="2">
        <f t="shared" si="43"/>
        <v>3.1216498389135272</v>
      </c>
      <c r="BE16" s="2">
        <f t="shared" si="44"/>
        <v>2.7292151407595266</v>
      </c>
      <c r="BF16" s="2">
        <f t="shared" si="45"/>
        <v>2.2390292258283626</v>
      </c>
      <c r="BG16" s="2">
        <f t="shared" si="46"/>
        <v>1.9375883632741238</v>
      </c>
      <c r="BH16" s="2">
        <f t="shared" si="47"/>
        <v>1.8881065670741741</v>
      </c>
      <c r="BI16" s="2">
        <f t="shared" si="48"/>
        <v>2.1220272616115818</v>
      </c>
      <c r="BJ16" s="2">
        <f t="shared" si="49"/>
        <v>2.5673634274111294</v>
      </c>
      <c r="BK16" s="2">
        <f t="shared" si="50"/>
        <v>2.9411242450252009</v>
      </c>
      <c r="BL16" s="2">
        <f t="shared" si="51"/>
        <v>3.3942537834097011</v>
      </c>
      <c r="BM16" s="2">
        <f t="shared" si="52"/>
        <v>3.8637595708233032</v>
      </c>
      <c r="BN16" s="2">
        <f t="shared" si="53"/>
        <v>4.3977383613740972</v>
      </c>
      <c r="BO16" s="2">
        <f t="shared" si="54"/>
        <v>5</v>
      </c>
    </row>
    <row r="18" spans="1:2" x14ac:dyDescent="0.15">
      <c r="A18" t="s">
        <v>22</v>
      </c>
    </row>
    <row r="19" spans="1:2" x14ac:dyDescent="0.15">
      <c r="A19" s="5"/>
    </row>
    <row r="20" spans="1:2" x14ac:dyDescent="0.15">
      <c r="A20" s="5"/>
      <c r="B20" s="5"/>
    </row>
    <row r="21" spans="1:2" x14ac:dyDescent="0.15">
      <c r="A21" s="5"/>
      <c r="B21" s="5"/>
    </row>
    <row r="22" spans="1:2" x14ac:dyDescent="0.15">
      <c r="A22" s="5"/>
      <c r="B22" s="5"/>
    </row>
    <row r="23" spans="1:2" x14ac:dyDescent="0.15">
      <c r="A23" s="5"/>
      <c r="B23" s="5"/>
    </row>
    <row r="24" spans="1:2" x14ac:dyDescent="0.15">
      <c r="A24" s="5"/>
      <c r="B24" s="5"/>
    </row>
  </sheetData>
  <mergeCells count="5">
    <mergeCell ref="D4:J4"/>
    <mergeCell ref="W4:AC4"/>
    <mergeCell ref="AM4:AS4"/>
    <mergeCell ref="BB4:BH4"/>
    <mergeCell ref="BI4:BO4"/>
  </mergeCells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4B39-5A34-0C47-BCFD-29E8A2F95556}">
  <dimension ref="A1:AJ24"/>
  <sheetViews>
    <sheetView zoomScale="150" workbookViewId="0">
      <selection activeCell="AG3" sqref="AG3"/>
    </sheetView>
  </sheetViews>
  <sheetFormatPr baseColWidth="10" defaultRowHeight="13" x14ac:dyDescent="0.15"/>
  <cols>
    <col min="1" max="1" width="12" bestFit="1" customWidth="1"/>
    <col min="2" max="2" width="5" bestFit="1" customWidth="1"/>
    <col min="3" max="3" width="3.33203125" bestFit="1" customWidth="1"/>
    <col min="4" max="10" width="2.1640625" bestFit="1" customWidth="1"/>
    <col min="11" max="11" width="3.5" customWidth="1"/>
    <col min="12" max="12" width="6" bestFit="1" customWidth="1"/>
    <col min="13" max="17" width="5" bestFit="1" customWidth="1"/>
    <col min="18" max="18" width="7.1640625" bestFit="1" customWidth="1"/>
    <col min="19" max="19" width="3.5" customWidth="1"/>
    <col min="20" max="20" width="6" bestFit="1" customWidth="1"/>
    <col min="21" max="26" width="5" bestFit="1" customWidth="1"/>
    <col min="27" max="27" width="3.5" customWidth="1"/>
    <col min="28" max="34" width="5" bestFit="1" customWidth="1"/>
    <col min="36" max="36" width="12.33203125" customWidth="1"/>
  </cols>
  <sheetData>
    <row r="1" spans="1:36" x14ac:dyDescent="0.15">
      <c r="A1" t="s">
        <v>9</v>
      </c>
      <c r="B1" s="3">
        <v>0.01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B1">
        <v>1</v>
      </c>
      <c r="AC1">
        <v>2</v>
      </c>
      <c r="AD1">
        <v>3</v>
      </c>
      <c r="AE1">
        <v>4</v>
      </c>
      <c r="AF1">
        <v>5</v>
      </c>
      <c r="AG1">
        <v>6</v>
      </c>
      <c r="AH1">
        <v>7</v>
      </c>
    </row>
    <row r="2" spans="1:36" x14ac:dyDescent="0.15">
      <c r="A2" t="s">
        <v>0</v>
      </c>
      <c r="B2" s="3">
        <v>0.9</v>
      </c>
      <c r="R2" t="s">
        <v>6</v>
      </c>
      <c r="T2" s="2">
        <v>10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1</v>
      </c>
      <c r="AH2" s="2">
        <v>5</v>
      </c>
    </row>
    <row r="3" spans="1:36" x14ac:dyDescent="0.15">
      <c r="A3" t="s">
        <v>1</v>
      </c>
      <c r="B3" s="3">
        <v>0.9</v>
      </c>
    </row>
    <row r="4" spans="1:36" x14ac:dyDescent="0.15">
      <c r="A4" t="s">
        <v>2</v>
      </c>
      <c r="B4" s="3">
        <f>1-B3</f>
        <v>9.9999999999999978E-2</v>
      </c>
      <c r="D4" s="4" t="s">
        <v>4</v>
      </c>
      <c r="E4" s="4"/>
      <c r="F4" s="4"/>
      <c r="G4" s="4"/>
      <c r="H4" s="4"/>
      <c r="I4" s="4"/>
      <c r="J4" s="4"/>
      <c r="L4" s="4" t="s">
        <v>5</v>
      </c>
      <c r="M4" s="4"/>
      <c r="N4" s="4"/>
      <c r="O4" s="4"/>
      <c r="P4" s="4"/>
      <c r="Q4" s="4"/>
      <c r="R4" s="4"/>
      <c r="T4" s="4" t="s">
        <v>7</v>
      </c>
      <c r="U4" s="4"/>
      <c r="V4" s="4"/>
      <c r="W4" s="4"/>
      <c r="X4" s="4"/>
      <c r="Y4" s="4"/>
      <c r="Z4" s="4"/>
      <c r="AB4" s="4" t="s">
        <v>8</v>
      </c>
      <c r="AC4" s="4"/>
      <c r="AD4" s="4"/>
      <c r="AE4" s="4"/>
      <c r="AF4" s="4"/>
      <c r="AG4" s="4"/>
      <c r="AH4" s="4"/>
    </row>
    <row r="5" spans="1:36" x14ac:dyDescent="0.15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T5">
        <v>1</v>
      </c>
      <c r="U5">
        <v>2</v>
      </c>
      <c r="V5">
        <v>3</v>
      </c>
      <c r="W5">
        <v>4</v>
      </c>
      <c r="X5">
        <v>5</v>
      </c>
      <c r="Y5">
        <v>6</v>
      </c>
      <c r="Z5">
        <v>7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</row>
    <row r="6" spans="1:36" x14ac:dyDescent="0.15">
      <c r="B6" t="s">
        <v>3</v>
      </c>
      <c r="C6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AJ6" s="5" t="s">
        <v>11</v>
      </c>
    </row>
    <row r="7" spans="1:36" x14ac:dyDescent="0.15">
      <c r="C7">
        <v>1</v>
      </c>
      <c r="D7" s="2" t="s">
        <v>10</v>
      </c>
      <c r="E7" s="2" t="str">
        <f>IF(U7 = AC7,"?", IF(U7 &gt; AC7, "&lt;", "&gt;"))</f>
        <v>?</v>
      </c>
      <c r="F7" s="2" t="str">
        <f t="shared" ref="F7:I16" si="0">IF(V7 = AD7,"?", IF(V7 &gt; AD7, "&lt;", "&gt;"))</f>
        <v>?</v>
      </c>
      <c r="G7" s="2" t="str">
        <f t="shared" si="0"/>
        <v>?</v>
      </c>
      <c r="H7" s="2" t="str">
        <f t="shared" si="0"/>
        <v>?</v>
      </c>
      <c r="I7" s="2" t="str">
        <f t="shared" si="0"/>
        <v>&gt;</v>
      </c>
      <c r="J7" s="2" t="s">
        <v>10</v>
      </c>
      <c r="L7" s="2">
        <f>MAX(T7,AB7)</f>
        <v>10</v>
      </c>
      <c r="M7" s="2">
        <f t="shared" ref="M7:R16" si="1">MAX(U7,AC7)</f>
        <v>0</v>
      </c>
      <c r="N7" s="2">
        <f t="shared" si="1"/>
        <v>0</v>
      </c>
      <c r="O7" s="2">
        <f t="shared" si="1"/>
        <v>0</v>
      </c>
      <c r="P7" s="2">
        <f t="shared" si="1"/>
        <v>0</v>
      </c>
      <c r="Q7" s="2">
        <f t="shared" si="1"/>
        <v>1</v>
      </c>
      <c r="R7" s="2">
        <f t="shared" si="1"/>
        <v>5</v>
      </c>
      <c r="T7" s="2">
        <f>$T$2</f>
        <v>10</v>
      </c>
      <c r="U7" s="2">
        <f>U$2+$B$2*(L6*$B$3 + N6*$B$4)</f>
        <v>0</v>
      </c>
      <c r="V7" s="2">
        <f t="shared" ref="V7:Y16" si="2">V$2+$B$2*(M6*$B$3 + O6*$B$4)</f>
        <v>0</v>
      </c>
      <c r="W7" s="2">
        <f t="shared" si="2"/>
        <v>0</v>
      </c>
      <c r="X7" s="2">
        <f t="shared" si="2"/>
        <v>0</v>
      </c>
      <c r="Y7" s="2">
        <f t="shared" si="2"/>
        <v>0</v>
      </c>
      <c r="Z7" s="2">
        <v>0</v>
      </c>
      <c r="AB7" s="2">
        <v>0</v>
      </c>
      <c r="AC7" s="2">
        <f>AC$2+$B$2*(N6*$B$3 + L6*$B$4)</f>
        <v>0</v>
      </c>
      <c r="AD7" s="2">
        <f t="shared" ref="AD7:AG16" si="3">AD$2+$B$2*(O6*$B$3 + M6*$B$4)</f>
        <v>0</v>
      </c>
      <c r="AE7" s="2">
        <f t="shared" si="3"/>
        <v>0</v>
      </c>
      <c r="AF7" s="2">
        <f t="shared" si="3"/>
        <v>0</v>
      </c>
      <c r="AG7" s="2">
        <f t="shared" si="3"/>
        <v>1</v>
      </c>
      <c r="AH7" s="2">
        <f>$AH$2</f>
        <v>5</v>
      </c>
      <c r="AJ7" s="3" cm="1">
        <f t="array" ref="AJ7">MAX(L7:R7-L6:R6)</f>
        <v>10</v>
      </c>
    </row>
    <row r="8" spans="1:36" x14ac:dyDescent="0.15">
      <c r="C8">
        <v>2</v>
      </c>
      <c r="D8" s="2" t="s">
        <v>10</v>
      </c>
      <c r="E8" s="2" t="str">
        <f t="shared" ref="E8:E16" si="4">IF(U8 = AC8,"?", IF(U8 &gt; AC8, "&lt;", "&gt;"))</f>
        <v>&lt;</v>
      </c>
      <c r="F8" s="2" t="str">
        <f t="shared" si="0"/>
        <v>?</v>
      </c>
      <c r="G8" s="2" t="str">
        <f t="shared" si="0"/>
        <v>?</v>
      </c>
      <c r="H8" s="2" t="str">
        <f t="shared" si="0"/>
        <v>&gt;</v>
      </c>
      <c r="I8" s="2" t="str">
        <f t="shared" si="0"/>
        <v>&gt;</v>
      </c>
      <c r="J8" s="2" t="s">
        <v>10</v>
      </c>
      <c r="L8" s="2">
        <f t="shared" ref="L8:L16" si="5">MAX(T8,AB8)</f>
        <v>10</v>
      </c>
      <c r="M8" s="2">
        <f t="shared" si="1"/>
        <v>8.1</v>
      </c>
      <c r="N8" s="2">
        <f t="shared" si="1"/>
        <v>0</v>
      </c>
      <c r="O8" s="2">
        <f t="shared" si="1"/>
        <v>0</v>
      </c>
      <c r="P8" s="2">
        <f t="shared" si="1"/>
        <v>0.81</v>
      </c>
      <c r="Q8" s="2">
        <f t="shared" si="1"/>
        <v>5.05</v>
      </c>
      <c r="R8" s="2">
        <f t="shared" si="1"/>
        <v>5</v>
      </c>
      <c r="T8" s="2">
        <f t="shared" ref="T8:T16" si="6">$T$2</f>
        <v>10</v>
      </c>
      <c r="U8" s="2">
        <f t="shared" ref="U8:U16" si="7">U$2+$B$2*(L7*$B$3 + N7*$B$4)</f>
        <v>8.1</v>
      </c>
      <c r="V8" s="2">
        <f t="shared" si="2"/>
        <v>0</v>
      </c>
      <c r="W8" s="2">
        <f t="shared" si="2"/>
        <v>0</v>
      </c>
      <c r="X8" s="2">
        <f t="shared" si="2"/>
        <v>8.9999999999999983E-2</v>
      </c>
      <c r="Y8" s="2">
        <f t="shared" si="2"/>
        <v>0.4499999999999999</v>
      </c>
      <c r="Z8" s="2">
        <v>0</v>
      </c>
      <c r="AB8" s="2">
        <v>0</v>
      </c>
      <c r="AC8" s="2">
        <f t="shared" ref="AC8:AC16" si="8">AC$2+$B$2*(N7*$B$3 + L7*$B$4)</f>
        <v>0.8999999999999998</v>
      </c>
      <c r="AD8" s="2">
        <f t="shared" si="3"/>
        <v>0</v>
      </c>
      <c r="AE8" s="2">
        <f t="shared" si="3"/>
        <v>0</v>
      </c>
      <c r="AF8" s="2">
        <f t="shared" si="3"/>
        <v>0.81</v>
      </c>
      <c r="AG8" s="2">
        <f t="shared" si="3"/>
        <v>5.05</v>
      </c>
      <c r="AH8" s="2">
        <f t="shared" ref="AH8:AH16" si="9">$AH$2</f>
        <v>5</v>
      </c>
      <c r="AJ8" s="3" cm="1">
        <f t="array" ref="AJ8">MAX(L8:R8-L7:R7)</f>
        <v>8.1</v>
      </c>
    </row>
    <row r="9" spans="1:36" x14ac:dyDescent="0.15">
      <c r="C9">
        <v>3</v>
      </c>
      <c r="D9" s="2" t="s">
        <v>10</v>
      </c>
      <c r="E9" s="2" t="str">
        <f t="shared" si="4"/>
        <v>&lt;</v>
      </c>
      <c r="F9" s="2" t="str">
        <f t="shared" si="0"/>
        <v>&lt;</v>
      </c>
      <c r="G9" s="2" t="str">
        <f t="shared" si="0"/>
        <v>&gt;</v>
      </c>
      <c r="H9" s="2" t="str">
        <f t="shared" si="0"/>
        <v>&gt;</v>
      </c>
      <c r="I9" s="2" t="str">
        <f t="shared" si="0"/>
        <v>&gt;</v>
      </c>
      <c r="J9" s="2" t="s">
        <v>10</v>
      </c>
      <c r="L9" s="2">
        <f t="shared" si="5"/>
        <v>10</v>
      </c>
      <c r="M9" s="2">
        <f t="shared" si="1"/>
        <v>8.1</v>
      </c>
      <c r="N9" s="2">
        <f t="shared" si="1"/>
        <v>6.5609999999999999</v>
      </c>
      <c r="O9" s="2">
        <f t="shared" si="1"/>
        <v>0.65610000000000013</v>
      </c>
      <c r="P9" s="2">
        <f t="shared" si="1"/>
        <v>4.0905000000000005</v>
      </c>
      <c r="Q9" s="2">
        <f t="shared" si="1"/>
        <v>5.1229000000000005</v>
      </c>
      <c r="R9" s="2">
        <f t="shared" si="1"/>
        <v>5</v>
      </c>
      <c r="T9" s="2">
        <f t="shared" si="6"/>
        <v>10</v>
      </c>
      <c r="U9" s="2">
        <f t="shared" si="7"/>
        <v>8.1</v>
      </c>
      <c r="V9" s="2">
        <f t="shared" si="2"/>
        <v>6.5609999999999999</v>
      </c>
      <c r="W9" s="2">
        <f t="shared" si="2"/>
        <v>7.2899999999999993E-2</v>
      </c>
      <c r="X9" s="2">
        <f t="shared" si="2"/>
        <v>0.4544999999999999</v>
      </c>
      <c r="Y9" s="2">
        <f t="shared" si="2"/>
        <v>1.1061000000000001</v>
      </c>
      <c r="Z9" s="2">
        <v>0</v>
      </c>
      <c r="AB9" s="2">
        <v>0</v>
      </c>
      <c r="AC9" s="2">
        <f t="shared" si="8"/>
        <v>0.8999999999999998</v>
      </c>
      <c r="AD9" s="2">
        <f t="shared" si="3"/>
        <v>0.72899999999999987</v>
      </c>
      <c r="AE9" s="2">
        <f t="shared" si="3"/>
        <v>0.65610000000000013</v>
      </c>
      <c r="AF9" s="2">
        <f t="shared" si="3"/>
        <v>4.0905000000000005</v>
      </c>
      <c r="AG9" s="2">
        <f t="shared" si="3"/>
        <v>5.1229000000000005</v>
      </c>
      <c r="AH9" s="2">
        <f t="shared" si="9"/>
        <v>5</v>
      </c>
      <c r="AJ9" s="3" cm="1">
        <f t="array" ref="AJ9">MAX(L9:R9-L8:R8)</f>
        <v>6.5609999999999999</v>
      </c>
    </row>
    <row r="10" spans="1:36" x14ac:dyDescent="0.15">
      <c r="C10">
        <v>4</v>
      </c>
      <c r="D10" s="2" t="s">
        <v>10</v>
      </c>
      <c r="E10" s="2" t="str">
        <f t="shared" si="4"/>
        <v>&lt;</v>
      </c>
      <c r="F10" s="2" t="str">
        <f t="shared" si="0"/>
        <v>&lt;</v>
      </c>
      <c r="G10" s="2" t="str">
        <f t="shared" si="0"/>
        <v>&lt;</v>
      </c>
      <c r="H10" s="2" t="str">
        <f t="shared" si="0"/>
        <v>&gt;</v>
      </c>
      <c r="I10" s="2" t="str">
        <f t="shared" si="0"/>
        <v>&gt;</v>
      </c>
      <c r="J10" s="2" t="s">
        <v>10</v>
      </c>
      <c r="L10" s="2">
        <f t="shared" si="5"/>
        <v>10</v>
      </c>
      <c r="M10" s="2">
        <f t="shared" si="1"/>
        <v>8.6904900000000005</v>
      </c>
      <c r="N10" s="2">
        <f t="shared" si="1"/>
        <v>6.6200490000000007</v>
      </c>
      <c r="O10" s="2">
        <f t="shared" si="1"/>
        <v>5.6825550000000007</v>
      </c>
      <c r="P10" s="2">
        <f t="shared" si="1"/>
        <v>4.2085980000000012</v>
      </c>
      <c r="Q10" s="2">
        <f t="shared" si="1"/>
        <v>5.418145</v>
      </c>
      <c r="R10" s="2">
        <f t="shared" si="1"/>
        <v>5</v>
      </c>
      <c r="T10" s="2">
        <f t="shared" si="6"/>
        <v>10</v>
      </c>
      <c r="U10" s="2">
        <f t="shared" si="7"/>
        <v>8.6904900000000005</v>
      </c>
      <c r="V10" s="2">
        <f t="shared" si="2"/>
        <v>6.6200490000000007</v>
      </c>
      <c r="W10" s="2">
        <f t="shared" si="2"/>
        <v>5.6825550000000007</v>
      </c>
      <c r="X10" s="2">
        <f t="shared" si="2"/>
        <v>0.99250200000000011</v>
      </c>
      <c r="Y10" s="2">
        <f t="shared" si="2"/>
        <v>3.7633049999999999</v>
      </c>
      <c r="Z10" s="2">
        <v>0</v>
      </c>
      <c r="AB10" s="2">
        <v>0</v>
      </c>
      <c r="AC10" s="2">
        <f t="shared" si="8"/>
        <v>6.2144100000000009</v>
      </c>
      <c r="AD10" s="2">
        <f t="shared" si="3"/>
        <v>1.2604410000000001</v>
      </c>
      <c r="AE10" s="2">
        <f t="shared" si="3"/>
        <v>3.9037950000000001</v>
      </c>
      <c r="AF10" s="2">
        <f t="shared" si="3"/>
        <v>4.2085980000000012</v>
      </c>
      <c r="AG10" s="2">
        <f t="shared" si="3"/>
        <v>5.418145</v>
      </c>
      <c r="AH10" s="2">
        <f t="shared" si="9"/>
        <v>5</v>
      </c>
      <c r="AJ10" s="3" cm="1">
        <f t="array" ref="AJ10">MAX(L10:R10-L9:R9)</f>
        <v>5.0264550000000003</v>
      </c>
    </row>
    <row r="11" spans="1:36" x14ac:dyDescent="0.15">
      <c r="C11">
        <v>5</v>
      </c>
      <c r="D11" s="2" t="s">
        <v>10</v>
      </c>
      <c r="E11" s="2" t="str">
        <f t="shared" si="4"/>
        <v>&lt;</v>
      </c>
      <c r="F11" s="2" t="str">
        <f t="shared" si="0"/>
        <v>&lt;</v>
      </c>
      <c r="G11" s="2" t="str">
        <f t="shared" si="0"/>
        <v>&lt;</v>
      </c>
      <c r="H11" s="2" t="str">
        <f t="shared" si="0"/>
        <v>&lt;</v>
      </c>
      <c r="I11" s="2" t="str">
        <f t="shared" si="0"/>
        <v>&gt;</v>
      </c>
      <c r="J11" s="2" t="s">
        <v>10</v>
      </c>
      <c r="L11" s="2">
        <f t="shared" si="5"/>
        <v>10</v>
      </c>
      <c r="M11" s="2">
        <f t="shared" si="1"/>
        <v>8.6958044099999992</v>
      </c>
      <c r="N11" s="2">
        <f t="shared" si="1"/>
        <v>7.5507268500000011</v>
      </c>
      <c r="O11" s="2">
        <f t="shared" si="1"/>
        <v>5.7410135100000002</v>
      </c>
      <c r="P11" s="2">
        <f t="shared" si="1"/>
        <v>5.0905026000000007</v>
      </c>
      <c r="Q11" s="2">
        <f t="shared" si="1"/>
        <v>5.42877382</v>
      </c>
      <c r="R11" s="2">
        <f t="shared" si="1"/>
        <v>5</v>
      </c>
      <c r="T11" s="2">
        <f t="shared" si="6"/>
        <v>10</v>
      </c>
      <c r="U11" s="2">
        <f t="shared" si="7"/>
        <v>8.6958044099999992</v>
      </c>
      <c r="V11" s="2">
        <f t="shared" si="2"/>
        <v>7.5507268500000011</v>
      </c>
      <c r="W11" s="2">
        <f t="shared" si="2"/>
        <v>5.7410135100000002</v>
      </c>
      <c r="X11" s="2">
        <f t="shared" si="2"/>
        <v>5.0905026000000007</v>
      </c>
      <c r="Y11" s="2">
        <f t="shared" si="2"/>
        <v>3.8589643800000006</v>
      </c>
      <c r="Z11" s="2">
        <v>0</v>
      </c>
      <c r="AB11" s="2">
        <v>0</v>
      </c>
      <c r="AC11" s="2">
        <f t="shared" si="8"/>
        <v>6.2622396900000004</v>
      </c>
      <c r="AD11" s="2">
        <f t="shared" si="3"/>
        <v>5.3850136500000003</v>
      </c>
      <c r="AE11" s="2">
        <f t="shared" si="3"/>
        <v>4.0047687900000009</v>
      </c>
      <c r="AF11" s="2">
        <f t="shared" si="3"/>
        <v>4.9001274000000006</v>
      </c>
      <c r="AG11" s="2">
        <f t="shared" si="3"/>
        <v>5.42877382</v>
      </c>
      <c r="AH11" s="2">
        <f t="shared" si="9"/>
        <v>5</v>
      </c>
      <c r="AJ11" s="3" cm="1">
        <f t="array" ref="AJ11">MAX(L11:R11-L10:R10)</f>
        <v>0.93067785000000036</v>
      </c>
    </row>
    <row r="12" spans="1:36" x14ac:dyDescent="0.15">
      <c r="C12">
        <v>6</v>
      </c>
      <c r="D12" s="2" t="s">
        <v>10</v>
      </c>
      <c r="E12" s="2" t="str">
        <f t="shared" si="4"/>
        <v>&lt;</v>
      </c>
      <c r="F12" s="2" t="str">
        <f t="shared" si="0"/>
        <v>&lt;</v>
      </c>
      <c r="G12" s="2" t="str">
        <f t="shared" si="0"/>
        <v>&lt;</v>
      </c>
      <c r="H12" s="2" t="str">
        <f t="shared" si="0"/>
        <v>&lt;</v>
      </c>
      <c r="I12" s="2" t="str">
        <f t="shared" si="0"/>
        <v>&gt;</v>
      </c>
      <c r="J12" s="2" t="s">
        <v>10</v>
      </c>
      <c r="L12" s="2">
        <f t="shared" si="5"/>
        <v>10</v>
      </c>
      <c r="M12" s="2">
        <f t="shared" si="1"/>
        <v>8.7795654165000006</v>
      </c>
      <c r="N12" s="2">
        <f t="shared" si="1"/>
        <v>7.560292787999999</v>
      </c>
      <c r="O12" s="2">
        <f t="shared" si="1"/>
        <v>6.5742339825000009</v>
      </c>
      <c r="P12" s="2">
        <f t="shared" si="1"/>
        <v>5.1388105869000009</v>
      </c>
      <c r="Q12" s="2">
        <f t="shared" si="1"/>
        <v>5.5081452340000006</v>
      </c>
      <c r="R12" s="2">
        <f t="shared" si="1"/>
        <v>5</v>
      </c>
      <c r="T12" s="2">
        <f t="shared" si="6"/>
        <v>10</v>
      </c>
      <c r="U12" s="2">
        <f t="shared" si="7"/>
        <v>8.7795654165000006</v>
      </c>
      <c r="V12" s="2">
        <f t="shared" si="2"/>
        <v>7.560292787999999</v>
      </c>
      <c r="W12" s="2">
        <f t="shared" si="2"/>
        <v>6.5742339825000009</v>
      </c>
      <c r="X12" s="2">
        <f t="shared" si="2"/>
        <v>5.1388105869000009</v>
      </c>
      <c r="Y12" s="2">
        <f t="shared" si="2"/>
        <v>4.5733071060000015</v>
      </c>
      <c r="Z12" s="2">
        <v>0</v>
      </c>
      <c r="AB12" s="2">
        <v>0</v>
      </c>
      <c r="AC12" s="2">
        <f t="shared" si="8"/>
        <v>7.0160887485000014</v>
      </c>
      <c r="AD12" s="2">
        <f t="shared" si="3"/>
        <v>5.4328433400000007</v>
      </c>
      <c r="AE12" s="2">
        <f t="shared" si="3"/>
        <v>4.8028725225000013</v>
      </c>
      <c r="AF12" s="2">
        <f t="shared" si="3"/>
        <v>4.9139980101000011</v>
      </c>
      <c r="AG12" s="2">
        <f t="shared" si="3"/>
        <v>5.5081452340000006</v>
      </c>
      <c r="AH12" s="2">
        <f t="shared" si="9"/>
        <v>5</v>
      </c>
      <c r="AJ12" s="3" cm="1">
        <f t="array" ref="AJ12">MAX(L12:R12-L11:R11)</f>
        <v>0.83322047250000075</v>
      </c>
    </row>
    <row r="13" spans="1:36" x14ac:dyDescent="0.15">
      <c r="C13">
        <v>7</v>
      </c>
      <c r="D13" s="2" t="s">
        <v>10</v>
      </c>
      <c r="E13" s="2" t="str">
        <f t="shared" si="4"/>
        <v>&lt;</v>
      </c>
      <c r="F13" s="2" t="str">
        <f t="shared" si="0"/>
        <v>&lt;</v>
      </c>
      <c r="G13" s="2" t="str">
        <f t="shared" si="0"/>
        <v>&lt;</v>
      </c>
      <c r="H13" s="2" t="str">
        <f t="shared" si="0"/>
        <v>&lt;</v>
      </c>
      <c r="I13" s="2" t="str">
        <f t="shared" si="0"/>
        <v>&gt;</v>
      </c>
      <c r="J13" s="2" t="s">
        <v>10</v>
      </c>
      <c r="L13" s="2">
        <f t="shared" si="5"/>
        <v>10</v>
      </c>
      <c r="M13" s="2">
        <f t="shared" si="1"/>
        <v>8.7804263509200009</v>
      </c>
      <c r="N13" s="2">
        <f t="shared" si="1"/>
        <v>7.7031290457900017</v>
      </c>
      <c r="O13" s="2">
        <f t="shared" si="1"/>
        <v>6.5863301111009998</v>
      </c>
      <c r="P13" s="2">
        <f t="shared" si="1"/>
        <v>5.820862596885001</v>
      </c>
      <c r="Q13" s="2">
        <f t="shared" si="1"/>
        <v>5.5124929528209998</v>
      </c>
      <c r="R13" s="2">
        <f t="shared" si="1"/>
        <v>5</v>
      </c>
      <c r="T13" s="2">
        <f t="shared" si="6"/>
        <v>10</v>
      </c>
      <c r="U13" s="2">
        <f t="shared" si="7"/>
        <v>8.7804263509200009</v>
      </c>
      <c r="V13" s="2">
        <f t="shared" si="2"/>
        <v>7.7031290457900017</v>
      </c>
      <c r="W13" s="2">
        <f t="shared" si="2"/>
        <v>6.5863301111009998</v>
      </c>
      <c r="X13" s="2">
        <f t="shared" si="2"/>
        <v>5.820862596885001</v>
      </c>
      <c r="Y13" s="2">
        <f t="shared" si="2"/>
        <v>4.6124365753890011</v>
      </c>
      <c r="Z13" s="2">
        <v>0</v>
      </c>
      <c r="AB13" s="2">
        <v>0</v>
      </c>
      <c r="AC13" s="2">
        <f t="shared" si="8"/>
        <v>7.0238371582799992</v>
      </c>
      <c r="AD13" s="2">
        <f t="shared" si="3"/>
        <v>6.1152904133100012</v>
      </c>
      <c r="AE13" s="2">
        <f t="shared" si="3"/>
        <v>4.8428629263090004</v>
      </c>
      <c r="AF13" s="2">
        <f t="shared" si="3"/>
        <v>5.0532786979650011</v>
      </c>
      <c r="AG13" s="2">
        <f t="shared" si="3"/>
        <v>5.5124929528209998</v>
      </c>
      <c r="AH13" s="2">
        <f t="shared" si="9"/>
        <v>5</v>
      </c>
      <c r="AJ13" s="3" cm="1">
        <f t="array" ref="AJ13">MAX(L13:R13-L12:R12)</f>
        <v>0.68205200998500004</v>
      </c>
    </row>
    <row r="14" spans="1:36" x14ac:dyDescent="0.15">
      <c r="C14">
        <v>8</v>
      </c>
      <c r="D14" s="2" t="s">
        <v>10</v>
      </c>
      <c r="E14" s="2" t="str">
        <f t="shared" si="4"/>
        <v>&lt;</v>
      </c>
      <c r="F14" s="2" t="str">
        <f t="shared" si="0"/>
        <v>&lt;</v>
      </c>
      <c r="G14" s="2" t="str">
        <f t="shared" si="0"/>
        <v>&lt;</v>
      </c>
      <c r="H14" s="2" t="str">
        <f t="shared" si="0"/>
        <v>&lt;</v>
      </c>
      <c r="I14" s="2" t="str">
        <f t="shared" si="0"/>
        <v>&gt;</v>
      </c>
      <c r="J14" s="2" t="s">
        <v>10</v>
      </c>
      <c r="L14" s="2">
        <f t="shared" si="5"/>
        <v>10</v>
      </c>
      <c r="M14" s="2">
        <f t="shared" si="1"/>
        <v>8.793281614121101</v>
      </c>
      <c r="N14" s="2">
        <f t="shared" si="1"/>
        <v>7.7049150542442915</v>
      </c>
      <c r="O14" s="2">
        <f t="shared" si="1"/>
        <v>6.7634121608095512</v>
      </c>
      <c r="P14" s="2">
        <f t="shared" si="1"/>
        <v>5.8310517557457002</v>
      </c>
      <c r="Q14" s="2">
        <f t="shared" si="1"/>
        <v>5.5738776337196505</v>
      </c>
      <c r="R14" s="2">
        <f t="shared" si="1"/>
        <v>5</v>
      </c>
      <c r="T14" s="2">
        <f t="shared" si="6"/>
        <v>10</v>
      </c>
      <c r="U14" s="2">
        <f t="shared" si="7"/>
        <v>8.793281614121101</v>
      </c>
      <c r="V14" s="2">
        <f t="shared" si="2"/>
        <v>7.7049150542442915</v>
      </c>
      <c r="W14" s="2">
        <f t="shared" si="2"/>
        <v>6.7634121608095512</v>
      </c>
      <c r="X14" s="2">
        <f t="shared" si="2"/>
        <v>5.8310517557457002</v>
      </c>
      <c r="Y14" s="2">
        <f t="shared" si="2"/>
        <v>5.164898703476851</v>
      </c>
      <c r="Z14" s="2">
        <v>0</v>
      </c>
      <c r="AB14" s="2">
        <v>0</v>
      </c>
      <c r="AC14" s="2">
        <f t="shared" si="8"/>
        <v>7.1395345270899018</v>
      </c>
      <c r="AD14" s="2">
        <f t="shared" si="3"/>
        <v>6.1251657615746105</v>
      </c>
      <c r="AE14" s="2">
        <f t="shared" si="3"/>
        <v>5.4081803175979504</v>
      </c>
      <c r="AF14" s="2">
        <f t="shared" si="3"/>
        <v>5.0578890017841003</v>
      </c>
      <c r="AG14" s="2">
        <f t="shared" si="3"/>
        <v>5.5738776337196505</v>
      </c>
      <c r="AH14" s="2">
        <f t="shared" si="9"/>
        <v>5</v>
      </c>
      <c r="AJ14" s="3" cm="1">
        <f t="array" ref="AJ14">MAX(L14:R14-L13:R13)</f>
        <v>0.17708204970855146</v>
      </c>
    </row>
    <row r="15" spans="1:36" x14ac:dyDescent="0.15">
      <c r="C15">
        <v>9</v>
      </c>
      <c r="D15" s="2" t="s">
        <v>10</v>
      </c>
      <c r="E15" s="2" t="str">
        <f t="shared" si="4"/>
        <v>&lt;</v>
      </c>
      <c r="F15" s="2" t="str">
        <f t="shared" si="0"/>
        <v>&lt;</v>
      </c>
      <c r="G15" s="2" t="str">
        <f t="shared" si="0"/>
        <v>&lt;</v>
      </c>
      <c r="H15" s="2" t="str">
        <f t="shared" si="0"/>
        <v>&lt;</v>
      </c>
      <c r="I15" s="2" t="str">
        <f t="shared" si="0"/>
        <v>&gt;</v>
      </c>
      <c r="J15" s="2" t="s">
        <v>10</v>
      </c>
      <c r="L15" s="2">
        <f t="shared" si="5"/>
        <v>10</v>
      </c>
      <c r="M15" s="2">
        <f t="shared" si="1"/>
        <v>8.7934423548819858</v>
      </c>
      <c r="N15" s="2">
        <f t="shared" si="1"/>
        <v>7.7312652019109516</v>
      </c>
      <c r="O15" s="2">
        <f t="shared" si="1"/>
        <v>6.7657758519549889</v>
      </c>
      <c r="P15" s="2">
        <f t="shared" si="1"/>
        <v>5.9800128372905057</v>
      </c>
      <c r="Q15" s="2">
        <f t="shared" si="1"/>
        <v>5.5747946580171126</v>
      </c>
      <c r="R15" s="2">
        <f t="shared" si="1"/>
        <v>5</v>
      </c>
      <c r="T15" s="2">
        <f t="shared" si="6"/>
        <v>10</v>
      </c>
      <c r="U15" s="2">
        <f t="shared" si="7"/>
        <v>8.7934423548819858</v>
      </c>
      <c r="V15" s="2">
        <f t="shared" si="2"/>
        <v>7.7312652019109516</v>
      </c>
      <c r="W15" s="2">
        <f t="shared" si="2"/>
        <v>6.7657758519549889</v>
      </c>
      <c r="X15" s="2">
        <f t="shared" si="2"/>
        <v>5.9800128372905057</v>
      </c>
      <c r="Y15" s="2">
        <f t="shared" si="2"/>
        <v>5.1731519221540179</v>
      </c>
      <c r="Z15" s="2">
        <v>0</v>
      </c>
      <c r="AB15" s="2">
        <v>0</v>
      </c>
      <c r="AC15" s="2">
        <f t="shared" si="8"/>
        <v>7.1409811939378764</v>
      </c>
      <c r="AD15" s="2">
        <f t="shared" si="3"/>
        <v>6.2697591955266354</v>
      </c>
      <c r="AE15" s="2">
        <f t="shared" si="3"/>
        <v>5.4165942770360038</v>
      </c>
      <c r="AF15" s="2">
        <f t="shared" si="3"/>
        <v>5.1235479777857762</v>
      </c>
      <c r="AG15" s="2">
        <f t="shared" si="3"/>
        <v>5.5747946580171126</v>
      </c>
      <c r="AH15" s="2">
        <f t="shared" si="9"/>
        <v>5</v>
      </c>
      <c r="AJ15" s="3" cm="1">
        <f t="array" ref="AJ15">MAX(L15:R15-L14:R14)</f>
        <v>0.14896108154480547</v>
      </c>
    </row>
    <row r="16" spans="1:36" x14ac:dyDescent="0.15">
      <c r="C16">
        <v>10</v>
      </c>
      <c r="D16" s="2" t="s">
        <v>10</v>
      </c>
      <c r="E16" s="2" t="str">
        <f t="shared" si="4"/>
        <v>&lt;</v>
      </c>
      <c r="F16" s="2" t="str">
        <f t="shared" si="0"/>
        <v>&lt;</v>
      </c>
      <c r="G16" s="2" t="str">
        <f t="shared" si="0"/>
        <v>&lt;</v>
      </c>
      <c r="H16" s="2" t="str">
        <f t="shared" si="0"/>
        <v>&lt;</v>
      </c>
      <c r="I16" s="2" t="str">
        <f t="shared" si="0"/>
        <v>&gt;</v>
      </c>
      <c r="J16" s="2" t="s">
        <v>10</v>
      </c>
      <c r="L16" s="2">
        <f t="shared" si="5"/>
        <v>10</v>
      </c>
      <c r="M16" s="2">
        <f t="shared" si="1"/>
        <v>8.7958138681719866</v>
      </c>
      <c r="N16" s="2">
        <f t="shared" si="1"/>
        <v>7.7316081341303571</v>
      </c>
      <c r="O16" s="2">
        <f t="shared" si="1"/>
        <v>6.8005259689040161</v>
      </c>
      <c r="P16" s="2">
        <f t="shared" si="1"/>
        <v>5.9820099593050804</v>
      </c>
      <c r="Q16" s="2">
        <f t="shared" si="1"/>
        <v>5.5882011553561464</v>
      </c>
      <c r="R16" s="2">
        <f t="shared" si="1"/>
        <v>5</v>
      </c>
      <c r="T16" s="2">
        <f t="shared" si="6"/>
        <v>10</v>
      </c>
      <c r="U16" s="2">
        <f t="shared" si="7"/>
        <v>8.7958138681719866</v>
      </c>
      <c r="V16" s="2">
        <f t="shared" si="2"/>
        <v>7.7316081341303571</v>
      </c>
      <c r="W16" s="2">
        <f t="shared" si="2"/>
        <v>6.8005259689040161</v>
      </c>
      <c r="X16" s="2">
        <f t="shared" si="2"/>
        <v>5.9820099593050804</v>
      </c>
      <c r="Y16" s="2">
        <f t="shared" si="2"/>
        <v>5.2938103982053102</v>
      </c>
      <c r="Z16" s="2">
        <v>0</v>
      </c>
      <c r="AB16" s="2">
        <v>0</v>
      </c>
      <c r="AC16" s="2">
        <f t="shared" si="8"/>
        <v>7.1623248135478708</v>
      </c>
      <c r="AD16" s="2">
        <f t="shared" si="3"/>
        <v>6.2716882520229191</v>
      </c>
      <c r="AE16" s="2">
        <f t="shared" si="3"/>
        <v>5.5396242663772961</v>
      </c>
      <c r="AF16" s="2">
        <f t="shared" si="3"/>
        <v>5.1245034996698102</v>
      </c>
      <c r="AG16" s="2">
        <f t="shared" si="3"/>
        <v>5.5882011553561464</v>
      </c>
      <c r="AH16" s="2">
        <f t="shared" si="9"/>
        <v>5</v>
      </c>
      <c r="AJ16" s="3" cm="1">
        <f t="array" ref="AJ16">MAX(L16:R16-L15:R15)</f>
        <v>3.4750116949027188E-2</v>
      </c>
    </row>
    <row r="19" spans="1:2" x14ac:dyDescent="0.15">
      <c r="A19" s="5" t="s">
        <v>12</v>
      </c>
    </row>
    <row r="20" spans="1:2" x14ac:dyDescent="0.15">
      <c r="A20" s="5" t="s">
        <v>13</v>
      </c>
      <c r="B20" s="5" t="s">
        <v>14</v>
      </c>
    </row>
    <row r="21" spans="1:2" x14ac:dyDescent="0.15">
      <c r="A21" s="5" t="s">
        <v>15</v>
      </c>
      <c r="B21" s="5" t="s">
        <v>16</v>
      </c>
    </row>
    <row r="22" spans="1:2" x14ac:dyDescent="0.15">
      <c r="A22" s="5" t="s">
        <v>17</v>
      </c>
      <c r="B22" s="5" t="s">
        <v>18</v>
      </c>
    </row>
    <row r="23" spans="1:2" x14ac:dyDescent="0.15">
      <c r="A23" s="5" t="s">
        <v>19</v>
      </c>
      <c r="B23" s="5" t="s">
        <v>20</v>
      </c>
    </row>
    <row r="24" spans="1:2" x14ac:dyDescent="0.15">
      <c r="A24" s="5" t="s">
        <v>11</v>
      </c>
      <c r="B24" s="5" t="s">
        <v>21</v>
      </c>
    </row>
  </sheetData>
  <mergeCells count="4">
    <mergeCell ref="D4:J4"/>
    <mergeCell ref="L4:R4"/>
    <mergeCell ref="T4:Z4"/>
    <mergeCell ref="AB4:AH4"/>
  </mergeCells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68F9-F05E-3C41-994C-ACA6CAF74F60}">
  <dimension ref="A1:AM16"/>
  <sheetViews>
    <sheetView zoomScale="150" workbookViewId="0">
      <selection activeCell="AH3" sqref="AH3"/>
    </sheetView>
  </sheetViews>
  <sheetFormatPr baseColWidth="10" defaultRowHeight="13" x14ac:dyDescent="0.15"/>
  <cols>
    <col min="1" max="1" width="12" bestFit="1" customWidth="1"/>
    <col min="2" max="2" width="5" bestFit="1" customWidth="1"/>
    <col min="3" max="3" width="3.33203125" bestFit="1" customWidth="1"/>
    <col min="4" max="4" width="2.1640625" bestFit="1" customWidth="1"/>
    <col min="5" max="9" width="2.5" bestFit="1" customWidth="1"/>
    <col min="10" max="10" width="2.1640625" bestFit="1" customWidth="1"/>
    <col min="11" max="11" width="3.5" customWidth="1"/>
    <col min="12" max="17" width="6" bestFit="1" customWidth="1"/>
    <col min="18" max="18" width="7.1640625" bestFit="1" customWidth="1"/>
    <col min="19" max="19" width="3.5" customWidth="1"/>
    <col min="20" max="20" width="5" bestFit="1" customWidth="1"/>
    <col min="21" max="25" width="6" bestFit="1" customWidth="1"/>
    <col min="26" max="26" width="5" bestFit="1" customWidth="1"/>
    <col min="27" max="27" width="3.5" customWidth="1"/>
    <col min="28" max="34" width="6" bestFit="1" customWidth="1"/>
    <col min="36" max="36" width="6" bestFit="1" customWidth="1"/>
    <col min="38" max="38" width="10" bestFit="1" customWidth="1"/>
    <col min="39" max="39" width="41.1640625" bestFit="1" customWidth="1"/>
  </cols>
  <sheetData>
    <row r="1" spans="1:39" x14ac:dyDescent="0.15">
      <c r="A1" t="s">
        <v>9</v>
      </c>
      <c r="B1" s="3">
        <v>0.01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B1">
        <v>1</v>
      </c>
      <c r="AC1">
        <v>2</v>
      </c>
      <c r="AD1">
        <v>3</v>
      </c>
      <c r="AE1">
        <v>4</v>
      </c>
      <c r="AF1">
        <v>5</v>
      </c>
      <c r="AG1">
        <v>6</v>
      </c>
      <c r="AH1">
        <v>7</v>
      </c>
      <c r="AL1" s="5" t="s">
        <v>12</v>
      </c>
    </row>
    <row r="2" spans="1:39" x14ac:dyDescent="0.15">
      <c r="A2" t="s">
        <v>0</v>
      </c>
      <c r="B2" s="3">
        <v>0.9</v>
      </c>
      <c r="R2" t="s">
        <v>6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5</v>
      </c>
      <c r="AL2" s="5" t="s">
        <v>13</v>
      </c>
      <c r="AM2" s="5" t="s">
        <v>14</v>
      </c>
    </row>
    <row r="3" spans="1:39" x14ac:dyDescent="0.15">
      <c r="A3" t="s">
        <v>1</v>
      </c>
      <c r="B3" s="3">
        <v>0.9</v>
      </c>
      <c r="AL3" s="5" t="s">
        <v>15</v>
      </c>
      <c r="AM3" s="5" t="s">
        <v>16</v>
      </c>
    </row>
    <row r="4" spans="1:39" x14ac:dyDescent="0.15">
      <c r="A4" t="s">
        <v>2</v>
      </c>
      <c r="B4" s="3">
        <f>1-B3</f>
        <v>9.9999999999999978E-2</v>
      </c>
      <c r="D4" s="4" t="s">
        <v>4</v>
      </c>
      <c r="E4" s="4"/>
      <c r="F4" s="4"/>
      <c r="G4" s="4"/>
      <c r="H4" s="4"/>
      <c r="I4" s="4"/>
      <c r="J4" s="4"/>
      <c r="L4" s="4" t="s">
        <v>5</v>
      </c>
      <c r="M4" s="4"/>
      <c r="N4" s="4"/>
      <c r="O4" s="4"/>
      <c r="P4" s="4"/>
      <c r="Q4" s="4"/>
      <c r="R4" s="4"/>
      <c r="T4" s="4" t="s">
        <v>7</v>
      </c>
      <c r="U4" s="4"/>
      <c r="V4" s="4"/>
      <c r="W4" s="4"/>
      <c r="X4" s="4"/>
      <c r="Y4" s="4"/>
      <c r="Z4" s="4"/>
      <c r="AB4" s="4" t="s">
        <v>8</v>
      </c>
      <c r="AC4" s="4"/>
      <c r="AD4" s="4"/>
      <c r="AE4" s="4"/>
      <c r="AF4" s="4"/>
      <c r="AG4" s="4"/>
      <c r="AH4" s="4"/>
      <c r="AL4" s="5" t="s">
        <v>17</v>
      </c>
      <c r="AM4" s="5" t="s">
        <v>18</v>
      </c>
    </row>
    <row r="5" spans="1:39" x14ac:dyDescent="0.15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T5">
        <v>1</v>
      </c>
      <c r="U5">
        <v>2</v>
      </c>
      <c r="V5">
        <v>3</v>
      </c>
      <c r="W5">
        <v>4</v>
      </c>
      <c r="X5">
        <v>5</v>
      </c>
      <c r="Y5">
        <v>6</v>
      </c>
      <c r="Z5">
        <v>7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  <c r="AL5" s="5" t="s">
        <v>19</v>
      </c>
      <c r="AM5" s="5" t="s">
        <v>20</v>
      </c>
    </row>
    <row r="6" spans="1:39" x14ac:dyDescent="0.15">
      <c r="B6" t="s">
        <v>3</v>
      </c>
      <c r="C6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AJ6" s="5" t="s">
        <v>11</v>
      </c>
      <c r="AL6" s="5" t="s">
        <v>11</v>
      </c>
      <c r="AM6" s="5" t="s">
        <v>21</v>
      </c>
    </row>
    <row r="7" spans="1:39" x14ac:dyDescent="0.15">
      <c r="C7">
        <v>1</v>
      </c>
      <c r="D7" s="2" t="s">
        <v>10</v>
      </c>
      <c r="E7" s="2" t="str">
        <f>IF(U7 = AC7,"?", IF(U7 &gt; AC7, "&lt;", "&gt;"))</f>
        <v>?</v>
      </c>
      <c r="F7" s="2" t="str">
        <f t="shared" ref="F7:I16" si="0">IF(V7 = AD7,"?", IF(V7 &gt; AD7, "&lt;", "&gt;"))</f>
        <v>?</v>
      </c>
      <c r="G7" s="2" t="str">
        <f t="shared" si="0"/>
        <v>?</v>
      </c>
      <c r="H7" s="2" t="str">
        <f t="shared" si="0"/>
        <v>?</v>
      </c>
      <c r="I7" s="2" t="str">
        <f t="shared" si="0"/>
        <v>?</v>
      </c>
      <c r="J7" s="2" t="s">
        <v>10</v>
      </c>
      <c r="L7" s="2">
        <f>MAX(T7,AB7)</f>
        <v>0</v>
      </c>
      <c r="M7" s="2">
        <f t="shared" ref="M7:R16" si="1">MAX(U7,AC7)</f>
        <v>0</v>
      </c>
      <c r="N7" s="2">
        <f t="shared" si="1"/>
        <v>0</v>
      </c>
      <c r="O7" s="2">
        <f t="shared" si="1"/>
        <v>0</v>
      </c>
      <c r="P7" s="2">
        <f t="shared" si="1"/>
        <v>0</v>
      </c>
      <c r="Q7" s="2">
        <f t="shared" si="1"/>
        <v>0</v>
      </c>
      <c r="R7" s="2">
        <f t="shared" si="1"/>
        <v>5</v>
      </c>
      <c r="T7" s="2">
        <f>$T$2</f>
        <v>0</v>
      </c>
      <c r="U7" s="2">
        <f>U$2+$B$2*(L6*$B$3 + N6*$B$4)</f>
        <v>0</v>
      </c>
      <c r="V7" s="2">
        <f t="shared" ref="V7:Y16" si="2">V$2+$B$2*(M6*$B$3 + O6*$B$4)</f>
        <v>0</v>
      </c>
      <c r="W7" s="2">
        <f t="shared" si="2"/>
        <v>0</v>
      </c>
      <c r="X7" s="2">
        <f t="shared" si="2"/>
        <v>0</v>
      </c>
      <c r="Y7" s="2">
        <f t="shared" si="2"/>
        <v>0</v>
      </c>
      <c r="Z7" s="2">
        <v>0</v>
      </c>
      <c r="AB7" s="2">
        <f>$AB$2</f>
        <v>0</v>
      </c>
      <c r="AC7" s="2">
        <f>AC$2+$B$2*(N6*$B$3 + L6*$B$4)</f>
        <v>0</v>
      </c>
      <c r="AD7" s="2">
        <f t="shared" ref="AD7:AG16" si="3">AD$2+$B$2*(O6*$B$3 + M6*$B$4)</f>
        <v>0</v>
      </c>
      <c r="AE7" s="2">
        <f t="shared" si="3"/>
        <v>0</v>
      </c>
      <c r="AF7" s="2">
        <f t="shared" si="3"/>
        <v>0</v>
      </c>
      <c r="AG7" s="2">
        <f t="shared" si="3"/>
        <v>0</v>
      </c>
      <c r="AH7" s="2">
        <f>$AH$2</f>
        <v>5</v>
      </c>
      <c r="AJ7" s="3" cm="1">
        <f t="array" ref="AJ7">MAX(L7:R7-L6:R6)</f>
        <v>5</v>
      </c>
    </row>
    <row r="8" spans="1:39" x14ac:dyDescent="0.15">
      <c r="C8">
        <v>2</v>
      </c>
      <c r="D8" s="2" t="s">
        <v>10</v>
      </c>
      <c r="E8" s="2" t="str">
        <f t="shared" ref="E8:E16" si="4">IF(U8 = AC8,"?", IF(U8 &gt; AC8, "&lt;", "&gt;"))</f>
        <v>?</v>
      </c>
      <c r="F8" s="2" t="str">
        <f t="shared" si="0"/>
        <v>?</v>
      </c>
      <c r="G8" s="2" t="str">
        <f t="shared" si="0"/>
        <v>?</v>
      </c>
      <c r="H8" s="2" t="str">
        <f t="shared" si="0"/>
        <v>?</v>
      </c>
      <c r="I8" s="2" t="str">
        <f t="shared" si="0"/>
        <v>&gt;</v>
      </c>
      <c r="J8" s="2" t="s">
        <v>10</v>
      </c>
      <c r="L8" s="2">
        <f t="shared" ref="L8:L16" si="5">MAX(T8,AB8)</f>
        <v>0</v>
      </c>
      <c r="M8" s="2">
        <f t="shared" si="1"/>
        <v>0</v>
      </c>
      <c r="N8" s="2">
        <f t="shared" si="1"/>
        <v>0</v>
      </c>
      <c r="O8" s="2">
        <f t="shared" si="1"/>
        <v>0</v>
      </c>
      <c r="P8" s="2">
        <f t="shared" si="1"/>
        <v>0</v>
      </c>
      <c r="Q8" s="2">
        <f t="shared" si="1"/>
        <v>4.05</v>
      </c>
      <c r="R8" s="2">
        <f t="shared" si="1"/>
        <v>5</v>
      </c>
      <c r="T8" s="2">
        <f t="shared" ref="T8:T16" si="6">$T$2</f>
        <v>0</v>
      </c>
      <c r="U8" s="2">
        <f t="shared" ref="U8:U16" si="7">U$2+$B$2*(L7*$B$3 + N7*$B$4)</f>
        <v>0</v>
      </c>
      <c r="V8" s="2">
        <f t="shared" si="2"/>
        <v>0</v>
      </c>
      <c r="W8" s="2">
        <f t="shared" si="2"/>
        <v>0</v>
      </c>
      <c r="X8" s="2">
        <f t="shared" si="2"/>
        <v>0</v>
      </c>
      <c r="Y8" s="2">
        <f t="shared" si="2"/>
        <v>0.4499999999999999</v>
      </c>
      <c r="Z8" s="2">
        <v>0</v>
      </c>
      <c r="AB8" s="2">
        <f t="shared" ref="AB8:AB16" si="8">$AB$2</f>
        <v>0</v>
      </c>
      <c r="AC8" s="2">
        <f t="shared" ref="AC8:AC16" si="9">AC$2+$B$2*(N7*$B$3 + L7*$B$4)</f>
        <v>0</v>
      </c>
      <c r="AD8" s="2">
        <f t="shared" si="3"/>
        <v>0</v>
      </c>
      <c r="AE8" s="2">
        <f t="shared" si="3"/>
        <v>0</v>
      </c>
      <c r="AF8" s="2">
        <f t="shared" si="3"/>
        <v>0</v>
      </c>
      <c r="AG8" s="2">
        <f t="shared" si="3"/>
        <v>4.05</v>
      </c>
      <c r="AH8" s="2">
        <f t="shared" ref="AH8:AH16" si="10">$AH$2</f>
        <v>5</v>
      </c>
      <c r="AJ8" s="3" cm="1">
        <f t="array" ref="AJ8">MAX(L8:R8-L7:R7)</f>
        <v>4.05</v>
      </c>
    </row>
    <row r="9" spans="1:39" x14ac:dyDescent="0.15">
      <c r="C9">
        <v>3</v>
      </c>
      <c r="D9" s="2" t="s">
        <v>10</v>
      </c>
      <c r="E9" s="2" t="str">
        <f t="shared" si="4"/>
        <v>?</v>
      </c>
      <c r="F9" s="2" t="str">
        <f t="shared" si="0"/>
        <v>?</v>
      </c>
      <c r="G9" s="2" t="str">
        <f t="shared" si="0"/>
        <v>?</v>
      </c>
      <c r="H9" s="2" t="str">
        <f t="shared" si="0"/>
        <v>&gt;</v>
      </c>
      <c r="I9" s="2" t="str">
        <f t="shared" si="0"/>
        <v>&gt;</v>
      </c>
      <c r="J9" s="2" t="s">
        <v>10</v>
      </c>
      <c r="L9" s="2">
        <f t="shared" si="5"/>
        <v>0</v>
      </c>
      <c r="M9" s="2">
        <f t="shared" si="1"/>
        <v>0</v>
      </c>
      <c r="N9" s="2">
        <f t="shared" si="1"/>
        <v>0</v>
      </c>
      <c r="O9" s="2">
        <f t="shared" si="1"/>
        <v>0</v>
      </c>
      <c r="P9" s="2">
        <f t="shared" si="1"/>
        <v>3.2805</v>
      </c>
      <c r="Q9" s="2">
        <f t="shared" si="1"/>
        <v>4.05</v>
      </c>
      <c r="R9" s="2">
        <f t="shared" si="1"/>
        <v>5</v>
      </c>
      <c r="T9" s="2">
        <f t="shared" si="6"/>
        <v>0</v>
      </c>
      <c r="U9" s="2">
        <f t="shared" si="7"/>
        <v>0</v>
      </c>
      <c r="V9" s="2">
        <f t="shared" si="2"/>
        <v>0</v>
      </c>
      <c r="W9" s="2">
        <f t="shared" si="2"/>
        <v>0</v>
      </c>
      <c r="X9" s="2">
        <f t="shared" si="2"/>
        <v>0.36449999999999994</v>
      </c>
      <c r="Y9" s="2">
        <f t="shared" si="2"/>
        <v>0.4499999999999999</v>
      </c>
      <c r="Z9" s="2">
        <v>0</v>
      </c>
      <c r="AB9" s="2">
        <f t="shared" si="8"/>
        <v>0</v>
      </c>
      <c r="AC9" s="2">
        <f t="shared" si="9"/>
        <v>0</v>
      </c>
      <c r="AD9" s="2">
        <f t="shared" si="3"/>
        <v>0</v>
      </c>
      <c r="AE9" s="2">
        <f t="shared" si="3"/>
        <v>0</v>
      </c>
      <c r="AF9" s="2">
        <f t="shared" si="3"/>
        <v>3.2805</v>
      </c>
      <c r="AG9" s="2">
        <f t="shared" si="3"/>
        <v>4.05</v>
      </c>
      <c r="AH9" s="2">
        <f t="shared" si="10"/>
        <v>5</v>
      </c>
      <c r="AJ9" s="3" cm="1">
        <f t="array" ref="AJ9">MAX(L9:R9-L8:R8)</f>
        <v>3.2805</v>
      </c>
    </row>
    <row r="10" spans="1:39" x14ac:dyDescent="0.15">
      <c r="C10">
        <v>4</v>
      </c>
      <c r="D10" s="2" t="s">
        <v>10</v>
      </c>
      <c r="E10" s="2" t="str">
        <f t="shared" si="4"/>
        <v>?</v>
      </c>
      <c r="F10" s="2" t="str">
        <f t="shared" si="0"/>
        <v>?</v>
      </c>
      <c r="G10" s="2" t="str">
        <f t="shared" si="0"/>
        <v>&gt;</v>
      </c>
      <c r="H10" s="2" t="str">
        <f t="shared" si="0"/>
        <v>&gt;</v>
      </c>
      <c r="I10" s="2" t="str">
        <f t="shared" si="0"/>
        <v>&gt;</v>
      </c>
      <c r="J10" s="2" t="s">
        <v>10</v>
      </c>
      <c r="L10" s="2">
        <f t="shared" si="5"/>
        <v>0</v>
      </c>
      <c r="M10" s="2">
        <f t="shared" si="1"/>
        <v>0</v>
      </c>
      <c r="N10" s="2">
        <f t="shared" si="1"/>
        <v>0</v>
      </c>
      <c r="O10" s="2">
        <f t="shared" si="1"/>
        <v>2.6572050000000003</v>
      </c>
      <c r="P10" s="2">
        <f t="shared" si="1"/>
        <v>3.2805</v>
      </c>
      <c r="Q10" s="2">
        <f t="shared" si="1"/>
        <v>4.3452450000000002</v>
      </c>
      <c r="R10" s="2">
        <f t="shared" si="1"/>
        <v>5</v>
      </c>
      <c r="T10" s="2">
        <f t="shared" si="6"/>
        <v>0</v>
      </c>
      <c r="U10" s="2">
        <f t="shared" si="7"/>
        <v>0</v>
      </c>
      <c r="V10" s="2">
        <f t="shared" si="2"/>
        <v>0</v>
      </c>
      <c r="W10" s="2">
        <f t="shared" si="2"/>
        <v>0.29524499999999992</v>
      </c>
      <c r="X10" s="2">
        <f t="shared" si="2"/>
        <v>0.36449999999999994</v>
      </c>
      <c r="Y10" s="2">
        <f t="shared" si="2"/>
        <v>3.1072050000000004</v>
      </c>
      <c r="Z10" s="2">
        <v>0</v>
      </c>
      <c r="AB10" s="2">
        <f t="shared" si="8"/>
        <v>0</v>
      </c>
      <c r="AC10" s="2">
        <f t="shared" si="9"/>
        <v>0</v>
      </c>
      <c r="AD10" s="2">
        <f t="shared" si="3"/>
        <v>0</v>
      </c>
      <c r="AE10" s="2">
        <f t="shared" si="3"/>
        <v>2.6572050000000003</v>
      </c>
      <c r="AF10" s="2">
        <f t="shared" si="3"/>
        <v>3.2805</v>
      </c>
      <c r="AG10" s="2">
        <f t="shared" si="3"/>
        <v>4.3452450000000002</v>
      </c>
      <c r="AH10" s="2">
        <f t="shared" si="10"/>
        <v>5</v>
      </c>
      <c r="AJ10" s="3" cm="1">
        <f t="array" ref="AJ10">MAX(L10:R10-L9:R9)</f>
        <v>2.6572050000000003</v>
      </c>
    </row>
    <row r="11" spans="1:39" x14ac:dyDescent="0.15">
      <c r="C11">
        <v>5</v>
      </c>
      <c r="D11" s="2" t="s">
        <v>10</v>
      </c>
      <c r="E11" s="2" t="str">
        <f t="shared" si="4"/>
        <v>?</v>
      </c>
      <c r="F11" s="2" t="str">
        <f t="shared" si="0"/>
        <v>&gt;</v>
      </c>
      <c r="G11" s="2" t="str">
        <f t="shared" si="0"/>
        <v>&gt;</v>
      </c>
      <c r="H11" s="2" t="str">
        <f t="shared" si="0"/>
        <v>&gt;</v>
      </c>
      <c r="I11" s="2" t="str">
        <f t="shared" si="0"/>
        <v>&gt;</v>
      </c>
      <c r="J11" s="2" t="s">
        <v>10</v>
      </c>
      <c r="L11" s="2">
        <f t="shared" si="5"/>
        <v>0</v>
      </c>
      <c r="M11" s="2">
        <f t="shared" si="1"/>
        <v>0</v>
      </c>
      <c r="N11" s="2">
        <f t="shared" si="1"/>
        <v>2.1523360500000002</v>
      </c>
      <c r="O11" s="2">
        <f t="shared" si="1"/>
        <v>2.6572050000000003</v>
      </c>
      <c r="P11" s="2">
        <f t="shared" si="1"/>
        <v>3.7587969000000006</v>
      </c>
      <c r="Q11" s="2">
        <f t="shared" si="1"/>
        <v>4.3452450000000002</v>
      </c>
      <c r="R11" s="2">
        <f t="shared" si="1"/>
        <v>5</v>
      </c>
      <c r="T11" s="2">
        <f t="shared" si="6"/>
        <v>0</v>
      </c>
      <c r="U11" s="2">
        <f t="shared" si="7"/>
        <v>0</v>
      </c>
      <c r="V11" s="2">
        <f t="shared" si="2"/>
        <v>0.23914844999999998</v>
      </c>
      <c r="W11" s="2">
        <f t="shared" si="2"/>
        <v>0.29524499999999992</v>
      </c>
      <c r="X11" s="2">
        <f t="shared" si="2"/>
        <v>2.5434081000000002</v>
      </c>
      <c r="Y11" s="2">
        <f t="shared" si="2"/>
        <v>3.1072050000000004</v>
      </c>
      <c r="Z11" s="2">
        <v>0</v>
      </c>
      <c r="AB11" s="2">
        <f t="shared" si="8"/>
        <v>0</v>
      </c>
      <c r="AC11" s="2">
        <f t="shared" si="9"/>
        <v>0</v>
      </c>
      <c r="AD11" s="2">
        <f t="shared" si="3"/>
        <v>2.1523360500000002</v>
      </c>
      <c r="AE11" s="2">
        <f t="shared" si="3"/>
        <v>2.6572050000000003</v>
      </c>
      <c r="AF11" s="2">
        <f t="shared" si="3"/>
        <v>3.7587969000000006</v>
      </c>
      <c r="AG11" s="2">
        <f t="shared" si="3"/>
        <v>4.3452450000000002</v>
      </c>
      <c r="AH11" s="2">
        <f t="shared" si="10"/>
        <v>5</v>
      </c>
      <c r="AJ11" s="3" cm="1">
        <f t="array" ref="AJ11">MAX(L11:R11-L10:R10)</f>
        <v>2.1523360500000002</v>
      </c>
    </row>
    <row r="12" spans="1:39" x14ac:dyDescent="0.15">
      <c r="C12">
        <v>6</v>
      </c>
      <c r="D12" s="2" t="s">
        <v>10</v>
      </c>
      <c r="E12" s="2" t="str">
        <f t="shared" si="4"/>
        <v>&gt;</v>
      </c>
      <c r="F12" s="2" t="str">
        <f t="shared" si="0"/>
        <v>&gt;</v>
      </c>
      <c r="G12" s="2" t="str">
        <f t="shared" si="0"/>
        <v>&gt;</v>
      </c>
      <c r="H12" s="2" t="str">
        <f t="shared" si="0"/>
        <v>&gt;</v>
      </c>
      <c r="I12" s="2" t="str">
        <f t="shared" si="0"/>
        <v>&gt;</v>
      </c>
      <c r="J12" s="2" t="s">
        <v>10</v>
      </c>
      <c r="L12" s="2">
        <f t="shared" si="5"/>
        <v>0</v>
      </c>
      <c r="M12" s="2">
        <f t="shared" si="1"/>
        <v>1.7433922005000002</v>
      </c>
      <c r="N12" s="2">
        <f t="shared" si="1"/>
        <v>2.1523360500000002</v>
      </c>
      <c r="O12" s="2">
        <f t="shared" si="1"/>
        <v>3.2383357335000005</v>
      </c>
      <c r="P12" s="2">
        <f t="shared" si="1"/>
        <v>3.7587969000000006</v>
      </c>
      <c r="Q12" s="2">
        <f t="shared" si="1"/>
        <v>4.3882917209999999</v>
      </c>
      <c r="R12" s="2">
        <f t="shared" si="1"/>
        <v>5</v>
      </c>
      <c r="T12" s="2">
        <f t="shared" si="6"/>
        <v>0</v>
      </c>
      <c r="U12" s="2">
        <f t="shared" si="7"/>
        <v>0.19371024449999996</v>
      </c>
      <c r="V12" s="2">
        <f t="shared" si="2"/>
        <v>0.23914844999999998</v>
      </c>
      <c r="W12" s="2">
        <f t="shared" si="2"/>
        <v>2.0816839215000003</v>
      </c>
      <c r="X12" s="2">
        <f t="shared" si="2"/>
        <v>2.5434081000000002</v>
      </c>
      <c r="Y12" s="2">
        <f t="shared" si="2"/>
        <v>3.4946254890000006</v>
      </c>
      <c r="Z12" s="2">
        <v>0</v>
      </c>
      <c r="AB12" s="2">
        <f t="shared" si="8"/>
        <v>0</v>
      </c>
      <c r="AC12" s="2">
        <f t="shared" si="9"/>
        <v>1.7433922005000002</v>
      </c>
      <c r="AD12" s="2">
        <f t="shared" si="3"/>
        <v>2.1523360500000002</v>
      </c>
      <c r="AE12" s="2">
        <f t="shared" si="3"/>
        <v>3.2383357335000005</v>
      </c>
      <c r="AF12" s="2">
        <f t="shared" si="3"/>
        <v>3.7587969000000006</v>
      </c>
      <c r="AG12" s="2">
        <f t="shared" si="3"/>
        <v>4.3882917209999999</v>
      </c>
      <c r="AH12" s="2">
        <f t="shared" si="10"/>
        <v>5</v>
      </c>
      <c r="AJ12" s="3" cm="1">
        <f t="array" ref="AJ12">MAX(L12:R12-L11:R11)</f>
        <v>1.7433922005000002</v>
      </c>
    </row>
    <row r="13" spans="1:39" x14ac:dyDescent="0.15">
      <c r="C13">
        <v>7</v>
      </c>
      <c r="D13" s="2" t="s">
        <v>10</v>
      </c>
      <c r="E13" s="2" t="str">
        <f t="shared" si="4"/>
        <v>&gt;</v>
      </c>
      <c r="F13" s="2" t="str">
        <f t="shared" si="0"/>
        <v>&gt;</v>
      </c>
      <c r="G13" s="2" t="str">
        <f t="shared" si="0"/>
        <v>&gt;</v>
      </c>
      <c r="H13" s="2" t="str">
        <f t="shared" si="0"/>
        <v>&gt;</v>
      </c>
      <c r="I13" s="2" t="str">
        <f t="shared" si="0"/>
        <v>&gt;</v>
      </c>
      <c r="J13" s="2" t="s">
        <v>10</v>
      </c>
      <c r="L13" s="2">
        <f t="shared" si="5"/>
        <v>0</v>
      </c>
      <c r="M13" s="2">
        <f t="shared" si="1"/>
        <v>1.7433922005000002</v>
      </c>
      <c r="N13" s="2">
        <f t="shared" si="1"/>
        <v>2.7799572421800005</v>
      </c>
      <c r="O13" s="2">
        <f t="shared" si="1"/>
        <v>3.2383357335000005</v>
      </c>
      <c r="P13" s="2">
        <f t="shared" si="1"/>
        <v>3.8459665100250007</v>
      </c>
      <c r="Q13" s="2">
        <f t="shared" si="1"/>
        <v>4.3882917209999999</v>
      </c>
      <c r="R13" s="2">
        <f t="shared" si="1"/>
        <v>5</v>
      </c>
      <c r="T13" s="2">
        <f t="shared" si="6"/>
        <v>0</v>
      </c>
      <c r="U13" s="2">
        <f t="shared" si="7"/>
        <v>0.19371024449999996</v>
      </c>
      <c r="V13" s="2">
        <f t="shared" si="2"/>
        <v>1.7035978984200002</v>
      </c>
      <c r="W13" s="2">
        <f t="shared" si="2"/>
        <v>2.0816839215000003</v>
      </c>
      <c r="X13" s="2">
        <f t="shared" si="2"/>
        <v>3.0179981990250004</v>
      </c>
      <c r="Y13" s="2">
        <f t="shared" si="2"/>
        <v>3.4946254890000006</v>
      </c>
      <c r="Z13" s="2">
        <v>0</v>
      </c>
      <c r="AB13" s="2">
        <f t="shared" si="8"/>
        <v>0</v>
      </c>
      <c r="AC13" s="2">
        <f t="shared" si="9"/>
        <v>1.7433922005000002</v>
      </c>
      <c r="AD13" s="2">
        <f t="shared" si="3"/>
        <v>2.7799572421800005</v>
      </c>
      <c r="AE13" s="2">
        <f t="shared" si="3"/>
        <v>3.2383357335000005</v>
      </c>
      <c r="AF13" s="2">
        <f t="shared" si="3"/>
        <v>3.8459665100250007</v>
      </c>
      <c r="AG13" s="2">
        <f t="shared" si="3"/>
        <v>4.3882917209999999</v>
      </c>
      <c r="AH13" s="2">
        <f t="shared" si="10"/>
        <v>5</v>
      </c>
      <c r="AJ13" s="3" cm="1">
        <f t="array" ref="AJ13">MAX(L13:R13-L12:R12)</f>
        <v>0.62762119218000034</v>
      </c>
    </row>
    <row r="14" spans="1:39" x14ac:dyDescent="0.15">
      <c r="C14">
        <v>8</v>
      </c>
      <c r="D14" s="2" t="s">
        <v>10</v>
      </c>
      <c r="E14" s="2" t="str">
        <f t="shared" si="4"/>
        <v>&gt;</v>
      </c>
      <c r="F14" s="2" t="str">
        <f t="shared" si="0"/>
        <v>&gt;</v>
      </c>
      <c r="G14" s="2" t="str">
        <f t="shared" si="0"/>
        <v>&gt;</v>
      </c>
      <c r="H14" s="2" t="str">
        <f t="shared" si="0"/>
        <v>&gt;</v>
      </c>
      <c r="I14" s="2" t="str">
        <f t="shared" si="0"/>
        <v>&gt;</v>
      </c>
      <c r="J14" s="2" t="s">
        <v>10</v>
      </c>
      <c r="L14" s="2">
        <f t="shared" si="5"/>
        <v>0</v>
      </c>
      <c r="M14" s="2">
        <f t="shared" si="1"/>
        <v>2.2517653661658006</v>
      </c>
      <c r="N14" s="2">
        <f t="shared" si="1"/>
        <v>2.7799572421800005</v>
      </c>
      <c r="O14" s="2">
        <f t="shared" si="1"/>
        <v>3.3654290249164505</v>
      </c>
      <c r="P14" s="2">
        <f t="shared" si="1"/>
        <v>3.8459665100250007</v>
      </c>
      <c r="Q14" s="2">
        <f t="shared" si="1"/>
        <v>4.3961369859022499</v>
      </c>
      <c r="R14" s="2">
        <f t="shared" si="1"/>
        <v>5</v>
      </c>
      <c r="T14" s="2">
        <f t="shared" si="6"/>
        <v>0</v>
      </c>
      <c r="U14" s="2">
        <f t="shared" si="7"/>
        <v>0.25019615179620003</v>
      </c>
      <c r="V14" s="2">
        <f t="shared" si="2"/>
        <v>1.7035978984200002</v>
      </c>
      <c r="W14" s="2">
        <f t="shared" si="2"/>
        <v>2.5979023520680506</v>
      </c>
      <c r="X14" s="2">
        <f t="shared" si="2"/>
        <v>3.0179981990250004</v>
      </c>
      <c r="Y14" s="2">
        <f t="shared" si="2"/>
        <v>3.5652328731202507</v>
      </c>
      <c r="Z14" s="2">
        <v>0</v>
      </c>
      <c r="AB14" s="2">
        <f t="shared" si="8"/>
        <v>0</v>
      </c>
      <c r="AC14" s="2">
        <f t="shared" si="9"/>
        <v>2.2517653661658006</v>
      </c>
      <c r="AD14" s="2">
        <f t="shared" si="3"/>
        <v>2.7799572421800005</v>
      </c>
      <c r="AE14" s="2">
        <f t="shared" si="3"/>
        <v>3.3654290249164505</v>
      </c>
      <c r="AF14" s="2">
        <f t="shared" si="3"/>
        <v>3.8459665100250007</v>
      </c>
      <c r="AG14" s="2">
        <f t="shared" si="3"/>
        <v>4.3961369859022499</v>
      </c>
      <c r="AH14" s="2">
        <f t="shared" si="10"/>
        <v>5</v>
      </c>
      <c r="AJ14" s="3" cm="1">
        <f t="array" ref="AJ14">MAX(L14:R14-L13:R13)</f>
        <v>0.50837316566580038</v>
      </c>
    </row>
    <row r="15" spans="1:39" x14ac:dyDescent="0.15">
      <c r="C15">
        <v>9</v>
      </c>
      <c r="D15" s="2" t="s">
        <v>10</v>
      </c>
      <c r="E15" s="2" t="str">
        <f t="shared" si="4"/>
        <v>&gt;</v>
      </c>
      <c r="F15" s="2" t="str">
        <f t="shared" si="0"/>
        <v>&gt;</v>
      </c>
      <c r="G15" s="2" t="str">
        <f t="shared" si="0"/>
        <v>&gt;</v>
      </c>
      <c r="H15" s="2" t="str">
        <f t="shared" si="0"/>
        <v>&gt;</v>
      </c>
      <c r="I15" s="2" t="str">
        <f t="shared" si="0"/>
        <v>&gt;</v>
      </c>
      <c r="J15" s="2" t="s">
        <v>10</v>
      </c>
      <c r="L15" s="2">
        <f t="shared" si="5"/>
        <v>0</v>
      </c>
      <c r="M15" s="2">
        <f t="shared" si="1"/>
        <v>2.2517653661658006</v>
      </c>
      <c r="N15" s="2">
        <f t="shared" si="1"/>
        <v>2.9286563931372469</v>
      </c>
      <c r="O15" s="2">
        <f t="shared" si="1"/>
        <v>3.3654290249164505</v>
      </c>
      <c r="P15" s="2">
        <f t="shared" si="1"/>
        <v>3.8637595708233032</v>
      </c>
      <c r="Q15" s="2">
        <f t="shared" si="1"/>
        <v>4.3961369859022499</v>
      </c>
      <c r="R15" s="2">
        <f t="shared" si="1"/>
        <v>5</v>
      </c>
      <c r="T15" s="2">
        <f t="shared" si="6"/>
        <v>0</v>
      </c>
      <c r="U15" s="2">
        <f t="shared" si="7"/>
        <v>0.25019615179620003</v>
      </c>
      <c r="V15" s="2">
        <f t="shared" si="2"/>
        <v>2.1268185588367792</v>
      </c>
      <c r="W15" s="2">
        <f t="shared" si="2"/>
        <v>2.5979023520680506</v>
      </c>
      <c r="X15" s="2">
        <f t="shared" si="2"/>
        <v>3.1216498389135272</v>
      </c>
      <c r="Y15" s="2">
        <f t="shared" si="2"/>
        <v>3.5652328731202507</v>
      </c>
      <c r="Z15" s="2">
        <v>0</v>
      </c>
      <c r="AB15" s="2">
        <f t="shared" si="8"/>
        <v>0</v>
      </c>
      <c r="AC15" s="2">
        <f t="shared" si="9"/>
        <v>2.2517653661658006</v>
      </c>
      <c r="AD15" s="2">
        <f t="shared" si="3"/>
        <v>2.9286563931372469</v>
      </c>
      <c r="AE15" s="2">
        <f t="shared" si="3"/>
        <v>3.3654290249164505</v>
      </c>
      <c r="AF15" s="2">
        <f t="shared" si="3"/>
        <v>3.8637595708233032</v>
      </c>
      <c r="AG15" s="2">
        <f t="shared" si="3"/>
        <v>4.3961369859022499</v>
      </c>
      <c r="AH15" s="2">
        <f t="shared" si="10"/>
        <v>5</v>
      </c>
      <c r="AJ15" s="3" cm="1">
        <f t="array" ref="AJ15">MAX(L15:R15-L14:R14)</f>
        <v>0.1486991509572464</v>
      </c>
    </row>
    <row r="16" spans="1:39" x14ac:dyDescent="0.15">
      <c r="C16">
        <v>10</v>
      </c>
      <c r="D16" s="2" t="s">
        <v>10</v>
      </c>
      <c r="E16" s="2" t="str">
        <f t="shared" si="4"/>
        <v>&gt;</v>
      </c>
      <c r="F16" s="2" t="str">
        <f t="shared" si="0"/>
        <v>&gt;</v>
      </c>
      <c r="G16" s="2" t="str">
        <f t="shared" si="0"/>
        <v>&gt;</v>
      </c>
      <c r="H16" s="2" t="str">
        <f t="shared" si="0"/>
        <v>&gt;</v>
      </c>
      <c r="I16" s="2" t="str">
        <f t="shared" si="0"/>
        <v>&gt;</v>
      </c>
      <c r="J16" s="2" t="s">
        <v>10</v>
      </c>
      <c r="L16" s="2">
        <f t="shared" si="5"/>
        <v>0</v>
      </c>
      <c r="M16" s="2">
        <f t="shared" si="1"/>
        <v>2.37221167844117</v>
      </c>
      <c r="N16" s="2">
        <f t="shared" si="1"/>
        <v>2.9286563931372469</v>
      </c>
      <c r="O16" s="2">
        <f t="shared" si="1"/>
        <v>3.3932243277492278</v>
      </c>
      <c r="P16" s="2">
        <f t="shared" si="1"/>
        <v>3.8637595708233032</v>
      </c>
      <c r="Q16" s="2">
        <f t="shared" si="1"/>
        <v>4.3977383613740972</v>
      </c>
      <c r="R16" s="2">
        <f t="shared" si="1"/>
        <v>5</v>
      </c>
      <c r="T16" s="2">
        <f t="shared" si="6"/>
        <v>0</v>
      </c>
      <c r="U16" s="2">
        <f t="shared" si="7"/>
        <v>0.26357907538235215</v>
      </c>
      <c r="V16" s="2">
        <f t="shared" si="2"/>
        <v>2.1268185588367792</v>
      </c>
      <c r="W16" s="2">
        <f t="shared" si="2"/>
        <v>2.7199500398152674</v>
      </c>
      <c r="X16" s="2">
        <f t="shared" si="2"/>
        <v>3.1216498389135272</v>
      </c>
      <c r="Y16" s="2">
        <f t="shared" si="2"/>
        <v>3.5796452523668756</v>
      </c>
      <c r="Z16" s="2">
        <v>0</v>
      </c>
      <c r="AB16" s="2">
        <f t="shared" si="8"/>
        <v>0</v>
      </c>
      <c r="AC16" s="2">
        <f t="shared" si="9"/>
        <v>2.37221167844117</v>
      </c>
      <c r="AD16" s="2">
        <f t="shared" si="3"/>
        <v>2.9286563931372469</v>
      </c>
      <c r="AE16" s="2">
        <f t="shared" si="3"/>
        <v>3.3932243277492278</v>
      </c>
      <c r="AF16" s="2">
        <f t="shared" si="3"/>
        <v>3.8637595708233032</v>
      </c>
      <c r="AG16" s="2">
        <f t="shared" si="3"/>
        <v>4.3977383613740972</v>
      </c>
      <c r="AH16" s="2">
        <f t="shared" si="10"/>
        <v>5</v>
      </c>
      <c r="AJ16" s="3" cm="1">
        <f t="array" ref="AJ16">MAX(L16:R16-L15:R15)</f>
        <v>0.12044631227536939</v>
      </c>
    </row>
  </sheetData>
  <mergeCells count="4">
    <mergeCell ref="D4:J4"/>
    <mergeCell ref="L4:R4"/>
    <mergeCell ref="T4:Z4"/>
    <mergeCell ref="AB4:AH4"/>
  </mergeCells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zoomScale="125" workbookViewId="0">
      <selection sqref="A1:AH9"/>
    </sheetView>
  </sheetViews>
  <sheetFormatPr baseColWidth="10" defaultRowHeight="13" x14ac:dyDescent="0.15"/>
  <cols>
    <col min="3" max="3" width="3.5" customWidth="1"/>
    <col min="4" max="10" width="4.1640625" customWidth="1"/>
    <col min="11" max="11" width="3.5" customWidth="1"/>
    <col min="12" max="18" width="4.1640625" customWidth="1"/>
    <col min="19" max="19" width="3.5" customWidth="1"/>
    <col min="20" max="26" width="4.1640625" customWidth="1"/>
    <col min="27" max="27" width="3.5" customWidth="1"/>
    <col min="28" max="34" width="4.1640625" customWidth="1"/>
  </cols>
  <sheetData>
    <row r="1" spans="1:34" x14ac:dyDescent="0.15">
      <c r="A1" t="s">
        <v>9</v>
      </c>
      <c r="B1" s="3">
        <v>0.01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B1">
        <v>1</v>
      </c>
      <c r="AC1">
        <v>2</v>
      </c>
      <c r="AD1">
        <v>3</v>
      </c>
      <c r="AE1">
        <v>4</v>
      </c>
      <c r="AF1">
        <v>5</v>
      </c>
      <c r="AG1">
        <v>6</v>
      </c>
      <c r="AH1">
        <v>7</v>
      </c>
    </row>
    <row r="2" spans="1:34" x14ac:dyDescent="0.15">
      <c r="A2" t="s">
        <v>0</v>
      </c>
      <c r="B2" s="3">
        <v>0.9</v>
      </c>
      <c r="R2" t="s">
        <v>6</v>
      </c>
      <c r="T2" s="2">
        <v>5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5</v>
      </c>
    </row>
    <row r="3" spans="1:34" x14ac:dyDescent="0.15">
      <c r="A3" t="s">
        <v>1</v>
      </c>
      <c r="B3" s="3">
        <v>0.9</v>
      </c>
    </row>
    <row r="4" spans="1:34" x14ac:dyDescent="0.15">
      <c r="A4" t="s">
        <v>2</v>
      </c>
      <c r="B4" s="3">
        <f>1-B3</f>
        <v>9.9999999999999978E-2</v>
      </c>
      <c r="D4" s="4" t="s">
        <v>4</v>
      </c>
      <c r="E4" s="4"/>
      <c r="F4" s="4"/>
      <c r="G4" s="4"/>
      <c r="H4" s="4"/>
      <c r="I4" s="4"/>
      <c r="J4" s="4"/>
      <c r="L4" s="4" t="s">
        <v>5</v>
      </c>
      <c r="M4" s="4"/>
      <c r="N4" s="4"/>
      <c r="O4" s="4"/>
      <c r="P4" s="4"/>
      <c r="Q4" s="4"/>
      <c r="R4" s="4"/>
      <c r="T4" s="4" t="s">
        <v>7</v>
      </c>
      <c r="U4" s="4"/>
      <c r="V4" s="4"/>
      <c r="W4" s="4"/>
      <c r="X4" s="4"/>
      <c r="Y4" s="4"/>
      <c r="Z4" s="4"/>
      <c r="AB4" s="4" t="s">
        <v>8</v>
      </c>
      <c r="AC4" s="4"/>
      <c r="AD4" s="4"/>
      <c r="AE4" s="4"/>
      <c r="AF4" s="4"/>
      <c r="AG4" s="4"/>
      <c r="AH4" s="4"/>
    </row>
    <row r="5" spans="1:34" x14ac:dyDescent="0.15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T5">
        <v>1</v>
      </c>
      <c r="U5">
        <v>2</v>
      </c>
      <c r="V5">
        <v>3</v>
      </c>
      <c r="W5">
        <v>4</v>
      </c>
      <c r="X5">
        <v>5</v>
      </c>
      <c r="Y5">
        <v>6</v>
      </c>
      <c r="Z5">
        <v>7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</row>
    <row r="6" spans="1:34" x14ac:dyDescent="0.15">
      <c r="B6" t="s">
        <v>3</v>
      </c>
      <c r="C6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34" x14ac:dyDescent="0.15">
      <c r="C7">
        <v>1</v>
      </c>
      <c r="D7" s="2" t="s">
        <v>10</v>
      </c>
      <c r="E7" s="2"/>
      <c r="F7" s="2"/>
      <c r="G7" s="2"/>
      <c r="H7" s="2"/>
      <c r="I7" s="2"/>
      <c r="J7" s="2" t="s">
        <v>10</v>
      </c>
      <c r="L7" s="2"/>
      <c r="M7" s="2"/>
      <c r="N7" s="2"/>
      <c r="O7" s="2"/>
      <c r="P7" s="2"/>
      <c r="Q7" s="2"/>
      <c r="R7" s="2"/>
      <c r="T7" s="2">
        <f>$T$2</f>
        <v>5</v>
      </c>
      <c r="U7" s="2"/>
      <c r="V7" s="2"/>
      <c r="W7" s="2"/>
      <c r="X7" s="2"/>
      <c r="Y7" s="2"/>
      <c r="Z7" s="2">
        <v>0</v>
      </c>
      <c r="AB7" s="2">
        <v>0</v>
      </c>
      <c r="AC7" s="2"/>
      <c r="AD7" s="2"/>
      <c r="AE7" s="2"/>
      <c r="AF7" s="2"/>
      <c r="AG7" s="2"/>
      <c r="AH7" s="2">
        <f>$AH$2</f>
        <v>5</v>
      </c>
    </row>
  </sheetData>
  <mergeCells count="4">
    <mergeCell ref="D4:J4"/>
    <mergeCell ref="L4:R4"/>
    <mergeCell ref="T4:Z4"/>
    <mergeCell ref="AB4:AH4"/>
  </mergeCells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18</vt:i4>
      </vt:variant>
    </vt:vector>
  </HeadingPairs>
  <TitlesOfParts>
    <vt:vector size="24" baseType="lpstr">
      <vt:lpstr>sc</vt:lpstr>
      <vt:lpstr>no_question_mark</vt:lpstr>
      <vt:lpstr>Fourteen</vt:lpstr>
      <vt:lpstr>Left</vt:lpstr>
      <vt:lpstr>Right</vt:lpstr>
      <vt:lpstr>template</vt:lpstr>
      <vt:lpstr>Fourteen!discount_rate</vt:lpstr>
      <vt:lpstr>Left!discount_rate</vt:lpstr>
      <vt:lpstr>no_question_mark!discount_rate</vt:lpstr>
      <vt:lpstr>Right!discount_rate</vt:lpstr>
      <vt:lpstr>sc!discount_rate</vt:lpstr>
      <vt:lpstr>discount_rate</vt:lpstr>
      <vt:lpstr>Fourteen!planned</vt:lpstr>
      <vt:lpstr>Left!planned</vt:lpstr>
      <vt:lpstr>no_question_mark!planned</vt:lpstr>
      <vt:lpstr>Right!planned</vt:lpstr>
      <vt:lpstr>sc!planned</vt:lpstr>
      <vt:lpstr>planned</vt:lpstr>
      <vt:lpstr>Fourteen!surprise</vt:lpstr>
      <vt:lpstr>Left!surprise</vt:lpstr>
      <vt:lpstr>no_question_mark!surprise</vt:lpstr>
      <vt:lpstr>Right!surprise</vt:lpstr>
      <vt:lpstr>sc!surprise</vt:lpstr>
      <vt:lpstr>surprise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Stephyn Butcher</dc:creator>
  <cp:lastModifiedBy>Evan Edelstein</cp:lastModifiedBy>
  <dcterms:created xsi:type="dcterms:W3CDTF">2012-12-16T23:11:40Z</dcterms:created>
  <dcterms:modified xsi:type="dcterms:W3CDTF">2026-04-05T15:32:49Z</dcterms:modified>
</cp:coreProperties>
</file>